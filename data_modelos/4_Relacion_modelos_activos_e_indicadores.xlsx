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E:\PDE\DEMO\data_modelos\"/>
    </mc:Choice>
  </mc:AlternateContent>
  <xr:revisionPtr revIDLastSave="0" documentId="13_ncr:1_{29929484-4F8F-4B1B-903C-1462A2382C56}" xr6:coauthVersionLast="47" xr6:coauthVersionMax="47" xr10:uidLastSave="{00000000-0000-0000-0000-000000000000}"/>
  <bookViews>
    <workbookView xWindow="28680" yWindow="-120" windowWidth="29040" windowHeight="16440" xr2:uid="{00000000-000D-0000-FFFF-FFFF00000000}"/>
  </bookViews>
  <sheets>
    <sheet name="Relación" sheetId="1" r:id="rId1"/>
  </sheets>
  <definedNames>
    <definedName name="_xlnm._FilterDatabase" localSheetId="0" hidden="1">Relación!$A$1:$T$55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2" i="1"/>
</calcChain>
</file>

<file path=xl/sharedStrings.xml><?xml version="1.0" encoding="utf-8"?>
<sst xmlns="http://schemas.openxmlformats.org/spreadsheetml/2006/main" count="530" uniqueCount="58">
  <si>
    <t>Modelo</t>
  </si>
  <si>
    <t>Activo físico u Operacional</t>
  </si>
  <si>
    <t>Modos de fallo / Modos de parada</t>
  </si>
  <si>
    <t>Variable</t>
  </si>
  <si>
    <t>Tipo de impacto</t>
  </si>
  <si>
    <t>Percentil</t>
  </si>
  <si>
    <t>Selección indicador</t>
  </si>
  <si>
    <t>Indicador climático</t>
  </si>
  <si>
    <t>Etiqueta</t>
  </si>
  <si>
    <t>PI superación de umbral</t>
  </si>
  <si>
    <t>Zona de fondeo y espera exterior</t>
  </si>
  <si>
    <t>Exceso de Oleaje</t>
  </si>
  <si>
    <t>Oleaje</t>
  </si>
  <si>
    <t>ELO</t>
  </si>
  <si>
    <t>P99</t>
  </si>
  <si>
    <t>Exceso de Viento</t>
  </si>
  <si>
    <t>Viento</t>
  </si>
  <si>
    <t>Predefinido</t>
  </si>
  <si>
    <t>Número de días con vientos extremos</t>
  </si>
  <si>
    <t>Número de horas al año con condiciones desfavorables en la zona de navegación, definidas por una altura significativa de ola &gt; 2,5 m</t>
  </si>
  <si>
    <t>Falta de Calado</t>
  </si>
  <si>
    <t>Nivel del mar</t>
  </si>
  <si>
    <t>ELS</t>
  </si>
  <si>
    <t>No indicadores</t>
  </si>
  <si>
    <t>Ascenso relativo del nivel del mar</t>
  </si>
  <si>
    <t>Ascenso relativo del nivel del mar (m)</t>
  </si>
  <si>
    <t>Calado objetivo de los poligonos de dragado</t>
  </si>
  <si>
    <t>OPEX falta de calado</t>
  </si>
  <si>
    <t>Pestaña</t>
  </si>
  <si>
    <t>Tasa de sedimentación anual (m/año)</t>
  </si>
  <si>
    <t>CAPEX falta de calado</t>
  </si>
  <si>
    <t>ELU</t>
  </si>
  <si>
    <t>Bocana</t>
  </si>
  <si>
    <t>Exceso de Corriente</t>
  </si>
  <si>
    <t>Corriente</t>
  </si>
  <si>
    <t>Número medio de días al año con velocidad de corriente media diaria superior a 0.5 m/s</t>
  </si>
  <si>
    <t>Número medio de días al año con visibiliad inferior a 1 km</t>
  </si>
  <si>
    <t>Visibilidad</t>
  </si>
  <si>
    <t>Visibilidad reducida</t>
  </si>
  <si>
    <t>Número de horas al año con condiciones desfavorables en la zona de navegación, definidas por una altura significativa de ola &gt; 2,0 m</t>
  </si>
  <si>
    <t>Dársenas (zona de maniobra y reviro)</t>
  </si>
  <si>
    <t>Canal de acceso/ navegación</t>
  </si>
  <si>
    <t>Dársenas (zona de permanencia)</t>
  </si>
  <si>
    <t>Servicio de prácticos</t>
  </si>
  <si>
    <t>Servicio de remolcadores</t>
  </si>
  <si>
    <t>Operaciones a flote (bunkering...)</t>
  </si>
  <si>
    <t>Número de horas al año con condiciones desfavorables en la zona de atraque, definidas por una altura significativa de ola &gt; 1,5 m (carga/descarga de buques tanque de graneles líquidos &gt; 200.000 DWT)</t>
  </si>
  <si>
    <t xml:space="preserve">Muelle </t>
  </si>
  <si>
    <t>Pantalán</t>
  </si>
  <si>
    <t>Duque de alba</t>
  </si>
  <si>
    <t>Boya / monoboya</t>
  </si>
  <si>
    <t>Rampa Ro-Ro</t>
  </si>
  <si>
    <t>Agitación</t>
  </si>
  <si>
    <t>Falta de francobordo</t>
  </si>
  <si>
    <t>Carga hidráulica sobre las obras de amarre</t>
  </si>
  <si>
    <t>PI falta de francobordo</t>
  </si>
  <si>
    <t>Inundacion costera</t>
  </si>
  <si>
    <t>No pefinido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</si>
</sst>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/>
    </xf>
    <xf numFmtId="0" fontId="2" fillId="2" borderId="0" xfId="0" applyFont="1" applyFill="1" applyAlignment="1">
      <alignment horizontal="center" wrapText="1"/>
    </xf>
    <xf numFmtId="0" fontId="2" fillId="3" borderId="0" xfId="0" applyFont="1" applyFill="1" applyAlignment="1">
      <alignment horizontal="center" wrapText="1"/>
    </xf>
    <xf numFmtId="0" fontId="2" fillId="4" borderId="0" xfId="0" applyFont="1" applyFill="1" applyAlignment="1">
      <alignment horizontal="center" wrapText="1"/>
    </xf>
    <xf numFmtId="0" fontId="2" fillId="5" borderId="0" xfId="0" applyFont="1" applyFill="1" applyAlignment="1">
      <alignment horizontal="center" wrapText="1"/>
    </xf>
    <xf numFmtId="0" fontId="2" fillId="0" borderId="0" xfId="0" applyFont="1" applyAlignment="1">
      <alignment horizontal="center" wrapText="1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6" borderId="0" xfId="0" applyFill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55"/>
  <sheetViews>
    <sheetView tabSelected="1" zoomScale="145" zoomScaleNormal="145" workbookViewId="0">
      <selection activeCell="C9" sqref="C9"/>
    </sheetView>
  </sheetViews>
  <sheetFormatPr baseColWidth="10" defaultColWidth="9.140625" defaultRowHeight="15" x14ac:dyDescent="0.25"/>
  <cols>
    <col min="1" max="1" width="22.5703125" style="2" bestFit="1" customWidth="1"/>
    <col min="2" max="2" width="34.28515625" style="2" bestFit="1" customWidth="1"/>
    <col min="3" max="3" width="36.140625" style="2" bestFit="1" customWidth="1"/>
    <col min="4" max="4" width="13" style="2" bestFit="1" customWidth="1"/>
    <col min="5" max="5" width="19.7109375" style="2" bestFit="1" customWidth="1"/>
    <col min="6" max="6" width="13.5703125" style="2" bestFit="1" customWidth="1"/>
    <col min="7" max="7" width="22.85546875" style="2" bestFit="1" customWidth="1"/>
    <col min="8" max="8" width="18.85546875" style="2" bestFit="1" customWidth="1"/>
    <col min="9" max="9" width="17.85546875" style="2" bestFit="1" customWidth="1"/>
    <col min="10" max="10" width="37.28515625" style="2" customWidth="1"/>
    <col min="11" max="11" width="36.28515625" style="2" bestFit="1" customWidth="1"/>
    <col min="12" max="12" width="12.85546875" style="2" bestFit="1" customWidth="1"/>
    <col min="13" max="13" width="22.42578125" style="2" bestFit="1" customWidth="1"/>
    <col min="14" max="14" width="20.7109375" style="2" bestFit="1" customWidth="1"/>
    <col min="15" max="15" width="12.5703125" style="2" bestFit="1" customWidth="1"/>
    <col min="16" max="17" width="34.7109375" style="2" bestFit="1" customWidth="1"/>
    <col min="18" max="16384" width="9.140625" style="2"/>
  </cols>
  <sheetData>
    <row r="1" spans="1:20" s="8" customForma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23</v>
      </c>
      <c r="I1" s="6" t="s">
        <v>28</v>
      </c>
      <c r="J1" s="6" t="s">
        <v>7</v>
      </c>
      <c r="K1" s="6" t="s">
        <v>8</v>
      </c>
      <c r="L1" s="7" t="s">
        <v>28</v>
      </c>
      <c r="M1" s="7" t="s">
        <v>7</v>
      </c>
      <c r="N1" s="7" t="s">
        <v>8</v>
      </c>
      <c r="O1" s="6" t="s">
        <v>28</v>
      </c>
      <c r="P1" s="6" t="s">
        <v>7</v>
      </c>
      <c r="Q1" s="6" t="s">
        <v>8</v>
      </c>
      <c r="R1" s="7"/>
      <c r="S1" s="7"/>
      <c r="T1" s="7"/>
    </row>
    <row r="2" spans="1:20" ht="60" x14ac:dyDescent="0.25">
      <c r="A2" s="2" t="s">
        <v>9</v>
      </c>
      <c r="B2" s="2" t="s">
        <v>10</v>
      </c>
      <c r="C2" s="2" t="s">
        <v>11</v>
      </c>
      <c r="D2" s="2" t="s">
        <v>12</v>
      </c>
      <c r="E2" s="2" t="s">
        <v>13</v>
      </c>
      <c r="F2" s="2" t="s">
        <v>14</v>
      </c>
      <c r="G2" s="2" t="s">
        <v>17</v>
      </c>
      <c r="H2" s="1">
        <f>+IF(G2="Predefinido",COUNTIF(I2:FT2,"*")/3,"")</f>
        <v>1</v>
      </c>
      <c r="I2" s="2" t="s">
        <v>12</v>
      </c>
      <c r="J2" s="2" t="s">
        <v>19</v>
      </c>
      <c r="K2" s="2" t="s">
        <v>19</v>
      </c>
    </row>
    <row r="3" spans="1:20" x14ac:dyDescent="0.25">
      <c r="A3" s="2" t="s">
        <v>9</v>
      </c>
      <c r="B3" s="2" t="s">
        <v>10</v>
      </c>
      <c r="C3" s="2" t="s">
        <v>15</v>
      </c>
      <c r="D3" s="2" t="s">
        <v>16</v>
      </c>
      <c r="E3" s="2" t="s">
        <v>13</v>
      </c>
      <c r="F3" s="2" t="s">
        <v>14</v>
      </c>
      <c r="G3" s="2" t="s">
        <v>17</v>
      </c>
      <c r="H3" s="1">
        <f t="shared" ref="H3:H37" si="0">+IF(G3="Predefinido",COUNTIF(I3:FT3,"*")/3,"")</f>
        <v>1</v>
      </c>
      <c r="I3" s="2" t="s">
        <v>16</v>
      </c>
      <c r="J3" s="2" t="s">
        <v>18</v>
      </c>
      <c r="K3" s="2" t="s">
        <v>18</v>
      </c>
    </row>
    <row r="4" spans="1:20" ht="30" x14ac:dyDescent="0.25">
      <c r="A4" s="1" t="s">
        <v>27</v>
      </c>
      <c r="B4" s="1" t="s">
        <v>10</v>
      </c>
      <c r="C4" s="1" t="s">
        <v>20</v>
      </c>
      <c r="D4" s="1" t="s">
        <v>21</v>
      </c>
      <c r="E4" s="1" t="s">
        <v>22</v>
      </c>
      <c r="F4" s="2" t="s">
        <v>14</v>
      </c>
      <c r="G4" s="2" t="s">
        <v>17</v>
      </c>
      <c r="H4" s="1">
        <f t="shared" si="0"/>
        <v>3</v>
      </c>
      <c r="I4" s="1" t="s">
        <v>21</v>
      </c>
      <c r="J4" s="1" t="s">
        <v>24</v>
      </c>
      <c r="K4" s="1" t="s">
        <v>25</v>
      </c>
      <c r="L4" s="1" t="s">
        <v>21</v>
      </c>
      <c r="M4" s="1" t="s">
        <v>26</v>
      </c>
      <c r="N4" s="1" t="s">
        <v>26</v>
      </c>
      <c r="O4" s="1" t="s">
        <v>21</v>
      </c>
      <c r="P4" s="9" t="s">
        <v>29</v>
      </c>
      <c r="Q4" s="9" t="s">
        <v>29</v>
      </c>
    </row>
    <row r="5" spans="1:20" ht="30" x14ac:dyDescent="0.25">
      <c r="A5" s="1" t="s">
        <v>30</v>
      </c>
      <c r="B5" s="1" t="s">
        <v>10</v>
      </c>
      <c r="C5" s="1" t="s">
        <v>20</v>
      </c>
      <c r="D5" s="1" t="s">
        <v>21</v>
      </c>
      <c r="E5" s="1" t="s">
        <v>31</v>
      </c>
      <c r="F5" s="2" t="s">
        <v>14</v>
      </c>
      <c r="G5" s="2" t="s">
        <v>17</v>
      </c>
      <c r="H5" s="1">
        <f t="shared" si="0"/>
        <v>3</v>
      </c>
      <c r="I5" s="1" t="s">
        <v>21</v>
      </c>
      <c r="J5" s="1" t="s">
        <v>24</v>
      </c>
      <c r="K5" s="1" t="s">
        <v>25</v>
      </c>
      <c r="L5" s="1" t="s">
        <v>21</v>
      </c>
      <c r="M5" s="1" t="s">
        <v>26</v>
      </c>
      <c r="N5" s="1" t="s">
        <v>26</v>
      </c>
      <c r="O5" s="1" t="s">
        <v>21</v>
      </c>
      <c r="P5" s="9" t="s">
        <v>29</v>
      </c>
      <c r="Q5" s="9" t="s">
        <v>29</v>
      </c>
    </row>
    <row r="6" spans="1:20" ht="60" x14ac:dyDescent="0.25">
      <c r="A6" s="2" t="s">
        <v>9</v>
      </c>
      <c r="B6" s="2" t="s">
        <v>32</v>
      </c>
      <c r="C6" s="2" t="s">
        <v>11</v>
      </c>
      <c r="D6" s="2" t="s">
        <v>12</v>
      </c>
      <c r="E6" s="2" t="s">
        <v>13</v>
      </c>
      <c r="F6" s="2" t="s">
        <v>14</v>
      </c>
      <c r="G6" s="2" t="s">
        <v>17</v>
      </c>
      <c r="H6" s="1">
        <f t="shared" si="0"/>
        <v>1</v>
      </c>
      <c r="I6" s="2" t="s">
        <v>12</v>
      </c>
      <c r="J6" s="2" t="s">
        <v>39</v>
      </c>
      <c r="K6" s="2" t="s">
        <v>39</v>
      </c>
    </row>
    <row r="7" spans="1:20" x14ac:dyDescent="0.25">
      <c r="A7" s="2" t="s">
        <v>9</v>
      </c>
      <c r="B7" s="2" t="s">
        <v>32</v>
      </c>
      <c r="C7" s="2" t="s">
        <v>15</v>
      </c>
      <c r="D7" s="2" t="s">
        <v>16</v>
      </c>
      <c r="E7" s="2" t="s">
        <v>13</v>
      </c>
      <c r="F7" s="2" t="s">
        <v>14</v>
      </c>
      <c r="G7" s="2" t="s">
        <v>17</v>
      </c>
      <c r="H7" s="1">
        <f t="shared" si="0"/>
        <v>1</v>
      </c>
      <c r="I7" s="2" t="s">
        <v>16</v>
      </c>
      <c r="J7" s="2" t="s">
        <v>18</v>
      </c>
      <c r="K7" s="2" t="s">
        <v>18</v>
      </c>
    </row>
    <row r="8" spans="1:20" ht="30" x14ac:dyDescent="0.25">
      <c r="A8" s="1" t="s">
        <v>27</v>
      </c>
      <c r="B8" s="2" t="s">
        <v>32</v>
      </c>
      <c r="C8" s="1" t="s">
        <v>20</v>
      </c>
      <c r="D8" s="1" t="s">
        <v>21</v>
      </c>
      <c r="E8" s="1" t="s">
        <v>22</v>
      </c>
      <c r="F8" s="2" t="s">
        <v>14</v>
      </c>
      <c r="G8" s="2" t="s">
        <v>17</v>
      </c>
      <c r="H8" s="1">
        <f t="shared" si="0"/>
        <v>3</v>
      </c>
      <c r="I8" s="1" t="s">
        <v>21</v>
      </c>
      <c r="J8" s="1" t="s">
        <v>24</v>
      </c>
      <c r="K8" s="1" t="s">
        <v>25</v>
      </c>
      <c r="L8" s="1" t="s">
        <v>21</v>
      </c>
      <c r="M8" s="1" t="s">
        <v>26</v>
      </c>
      <c r="N8" s="1" t="s">
        <v>26</v>
      </c>
      <c r="O8" s="1" t="s">
        <v>21</v>
      </c>
      <c r="P8" s="9" t="s">
        <v>29</v>
      </c>
      <c r="Q8" s="9" t="s">
        <v>29</v>
      </c>
    </row>
    <row r="9" spans="1:20" ht="30" x14ac:dyDescent="0.25">
      <c r="A9" s="1" t="s">
        <v>30</v>
      </c>
      <c r="B9" s="2" t="s">
        <v>32</v>
      </c>
      <c r="C9" s="1" t="s">
        <v>20</v>
      </c>
      <c r="D9" s="1" t="s">
        <v>21</v>
      </c>
      <c r="E9" s="1" t="s">
        <v>31</v>
      </c>
      <c r="F9" s="2" t="s">
        <v>14</v>
      </c>
      <c r="G9" s="2" t="s">
        <v>17</v>
      </c>
      <c r="H9" s="1">
        <f t="shared" si="0"/>
        <v>3</v>
      </c>
      <c r="I9" s="1" t="s">
        <v>21</v>
      </c>
      <c r="J9" s="1" t="s">
        <v>24</v>
      </c>
      <c r="K9" s="1" t="s">
        <v>25</v>
      </c>
      <c r="L9" s="1" t="s">
        <v>21</v>
      </c>
      <c r="M9" s="1" t="s">
        <v>26</v>
      </c>
      <c r="N9" s="1" t="s">
        <v>26</v>
      </c>
      <c r="O9" s="1" t="s">
        <v>21</v>
      </c>
      <c r="P9" s="9" t="s">
        <v>29</v>
      </c>
      <c r="Q9" s="9" t="s">
        <v>29</v>
      </c>
    </row>
    <row r="10" spans="1:20" s="1" customFormat="1" ht="45" x14ac:dyDescent="0.25">
      <c r="A10" s="1" t="s">
        <v>9</v>
      </c>
      <c r="B10" s="1" t="s">
        <v>32</v>
      </c>
      <c r="C10" s="3" t="s">
        <v>33</v>
      </c>
      <c r="D10" s="1" t="s">
        <v>34</v>
      </c>
      <c r="E10" s="1" t="s">
        <v>13</v>
      </c>
      <c r="F10" s="2" t="s">
        <v>14</v>
      </c>
      <c r="G10" s="2" t="s">
        <v>17</v>
      </c>
      <c r="H10" s="1">
        <f t="shared" si="0"/>
        <v>1</v>
      </c>
      <c r="I10" s="1" t="s">
        <v>34</v>
      </c>
      <c r="J10" s="1" t="s">
        <v>35</v>
      </c>
      <c r="K10" s="1" t="s">
        <v>35</v>
      </c>
    </row>
    <row r="11" spans="1:20" ht="30" x14ac:dyDescent="0.25">
      <c r="A11" s="1" t="s">
        <v>9</v>
      </c>
      <c r="B11" s="1" t="s">
        <v>32</v>
      </c>
      <c r="C11" s="3" t="s">
        <v>38</v>
      </c>
      <c r="D11" s="1" t="s">
        <v>37</v>
      </c>
      <c r="E11" s="1" t="s">
        <v>13</v>
      </c>
      <c r="F11" s="2" t="s">
        <v>14</v>
      </c>
      <c r="G11" s="2" t="s">
        <v>17</v>
      </c>
      <c r="H11" s="1">
        <f t="shared" si="0"/>
        <v>1</v>
      </c>
      <c r="I11" s="1" t="s">
        <v>37</v>
      </c>
      <c r="J11" s="1" t="s">
        <v>36</v>
      </c>
      <c r="K11" s="1" t="s">
        <v>36</v>
      </c>
    </row>
    <row r="12" spans="1:20" ht="60" x14ac:dyDescent="0.25">
      <c r="A12" s="1" t="s">
        <v>9</v>
      </c>
      <c r="B12" s="2" t="s">
        <v>41</v>
      </c>
      <c r="C12" s="2" t="s">
        <v>11</v>
      </c>
      <c r="D12" s="2" t="s">
        <v>12</v>
      </c>
      <c r="E12" s="2" t="s">
        <v>13</v>
      </c>
      <c r="F12" s="2" t="s">
        <v>14</v>
      </c>
      <c r="G12" s="2" t="s">
        <v>17</v>
      </c>
      <c r="H12" s="1">
        <f t="shared" si="0"/>
        <v>1</v>
      </c>
      <c r="I12" s="2" t="s">
        <v>12</v>
      </c>
      <c r="J12" s="2" t="s">
        <v>39</v>
      </c>
      <c r="K12" s="2" t="s">
        <v>39</v>
      </c>
    </row>
    <row r="13" spans="1:20" x14ac:dyDescent="0.25">
      <c r="A13" s="1" t="s">
        <v>9</v>
      </c>
      <c r="B13" s="2" t="s">
        <v>41</v>
      </c>
      <c r="C13" s="2" t="s">
        <v>15</v>
      </c>
      <c r="D13" s="2" t="s">
        <v>16</v>
      </c>
      <c r="E13" s="2" t="s">
        <v>13</v>
      </c>
      <c r="F13" s="2" t="s">
        <v>14</v>
      </c>
      <c r="G13" s="2" t="s">
        <v>17</v>
      </c>
      <c r="H13" s="1">
        <f t="shared" si="0"/>
        <v>1</v>
      </c>
      <c r="I13" s="2" t="s">
        <v>16</v>
      </c>
      <c r="J13" s="2" t="s">
        <v>18</v>
      </c>
      <c r="K13" s="2" t="s">
        <v>18</v>
      </c>
    </row>
    <row r="14" spans="1:20" s="1" customFormat="1" ht="45" x14ac:dyDescent="0.25">
      <c r="A14" s="1" t="s">
        <v>9</v>
      </c>
      <c r="B14" s="2" t="s">
        <v>41</v>
      </c>
      <c r="C14" s="3" t="s">
        <v>33</v>
      </c>
      <c r="D14" s="1" t="s">
        <v>34</v>
      </c>
      <c r="E14" s="1" t="s">
        <v>13</v>
      </c>
      <c r="F14" s="2" t="s">
        <v>14</v>
      </c>
      <c r="G14" s="2" t="s">
        <v>17</v>
      </c>
      <c r="H14" s="1">
        <f t="shared" si="0"/>
        <v>1</v>
      </c>
      <c r="I14" s="1" t="s">
        <v>34</v>
      </c>
      <c r="J14" s="1" t="s">
        <v>35</v>
      </c>
      <c r="K14" s="1" t="s">
        <v>35</v>
      </c>
    </row>
    <row r="15" spans="1:20" ht="30" x14ac:dyDescent="0.25">
      <c r="A15" s="1" t="s">
        <v>9</v>
      </c>
      <c r="B15" s="2" t="s">
        <v>41</v>
      </c>
      <c r="C15" s="3" t="s">
        <v>38</v>
      </c>
      <c r="D15" s="1" t="s">
        <v>37</v>
      </c>
      <c r="E15" s="1" t="s">
        <v>13</v>
      </c>
      <c r="F15" s="2" t="s">
        <v>14</v>
      </c>
      <c r="G15" s="2" t="s">
        <v>17</v>
      </c>
      <c r="H15" s="1">
        <f t="shared" si="0"/>
        <v>1</v>
      </c>
      <c r="I15" s="1" t="s">
        <v>37</v>
      </c>
      <c r="J15" s="1" t="s">
        <v>36</v>
      </c>
      <c r="K15" s="1" t="s">
        <v>36</v>
      </c>
    </row>
    <row r="16" spans="1:20" ht="30" x14ac:dyDescent="0.25">
      <c r="A16" s="1" t="s">
        <v>27</v>
      </c>
      <c r="B16" s="2" t="s">
        <v>41</v>
      </c>
      <c r="C16" s="1" t="s">
        <v>20</v>
      </c>
      <c r="D16" s="1" t="s">
        <v>21</v>
      </c>
      <c r="E16" s="1" t="s">
        <v>22</v>
      </c>
      <c r="F16" s="2" t="s">
        <v>14</v>
      </c>
      <c r="G16" s="2" t="s">
        <v>17</v>
      </c>
      <c r="H16" s="1">
        <f t="shared" si="0"/>
        <v>3</v>
      </c>
      <c r="I16" s="1" t="s">
        <v>21</v>
      </c>
      <c r="J16" s="1" t="s">
        <v>24</v>
      </c>
      <c r="K16" s="1" t="s">
        <v>25</v>
      </c>
      <c r="L16" s="1" t="s">
        <v>21</v>
      </c>
      <c r="M16" s="1" t="s">
        <v>26</v>
      </c>
      <c r="N16" s="1" t="s">
        <v>26</v>
      </c>
      <c r="O16" s="1" t="s">
        <v>21</v>
      </c>
      <c r="P16" s="9" t="s">
        <v>29</v>
      </c>
      <c r="Q16" s="9" t="s">
        <v>29</v>
      </c>
    </row>
    <row r="17" spans="1:17" ht="30" x14ac:dyDescent="0.25">
      <c r="A17" s="1" t="s">
        <v>30</v>
      </c>
      <c r="B17" s="2" t="s">
        <v>41</v>
      </c>
      <c r="C17" s="1" t="s">
        <v>20</v>
      </c>
      <c r="D17" s="1" t="s">
        <v>21</v>
      </c>
      <c r="E17" s="1" t="s">
        <v>31</v>
      </c>
      <c r="F17" s="2" t="s">
        <v>14</v>
      </c>
      <c r="G17" s="2" t="s">
        <v>17</v>
      </c>
      <c r="H17" s="1">
        <f t="shared" si="0"/>
        <v>3</v>
      </c>
      <c r="I17" s="1" t="s">
        <v>21</v>
      </c>
      <c r="J17" s="1" t="s">
        <v>24</v>
      </c>
      <c r="K17" s="1" t="s">
        <v>25</v>
      </c>
      <c r="L17" s="1" t="s">
        <v>21</v>
      </c>
      <c r="M17" s="1" t="s">
        <v>26</v>
      </c>
      <c r="N17" s="1" t="s">
        <v>26</v>
      </c>
      <c r="O17" s="1" t="s">
        <v>21</v>
      </c>
      <c r="P17" s="9" t="s">
        <v>29</v>
      </c>
      <c r="Q17" s="9" t="s">
        <v>29</v>
      </c>
    </row>
    <row r="18" spans="1:17" ht="60" x14ac:dyDescent="0.25">
      <c r="A18" s="2" t="s">
        <v>9</v>
      </c>
      <c r="B18" s="2" t="s">
        <v>42</v>
      </c>
      <c r="C18" s="2" t="s">
        <v>11</v>
      </c>
      <c r="D18" s="2" t="s">
        <v>12</v>
      </c>
      <c r="E18" s="2" t="s">
        <v>13</v>
      </c>
      <c r="F18" s="2" t="s">
        <v>14</v>
      </c>
      <c r="G18" s="2" t="s">
        <v>17</v>
      </c>
      <c r="H18" s="1">
        <f t="shared" si="0"/>
        <v>1</v>
      </c>
      <c r="I18" s="2" t="s">
        <v>12</v>
      </c>
      <c r="J18" s="2" t="s">
        <v>39</v>
      </c>
      <c r="K18" s="2" t="s">
        <v>39</v>
      </c>
    </row>
    <row r="19" spans="1:17" x14ac:dyDescent="0.25">
      <c r="A19" s="2" t="s">
        <v>9</v>
      </c>
      <c r="B19" s="2" t="s">
        <v>42</v>
      </c>
      <c r="C19" s="2" t="s">
        <v>15</v>
      </c>
      <c r="D19" s="2" t="s">
        <v>16</v>
      </c>
      <c r="E19" s="2" t="s">
        <v>13</v>
      </c>
      <c r="F19" s="2" t="s">
        <v>14</v>
      </c>
      <c r="G19" s="2" t="s">
        <v>17</v>
      </c>
      <c r="H19" s="1">
        <f t="shared" si="0"/>
        <v>1</v>
      </c>
      <c r="I19" s="2" t="s">
        <v>16</v>
      </c>
      <c r="J19" s="2" t="s">
        <v>18</v>
      </c>
      <c r="K19" s="2" t="s">
        <v>18</v>
      </c>
    </row>
    <row r="20" spans="1:17" ht="45" x14ac:dyDescent="0.25">
      <c r="A20" s="1" t="s">
        <v>9</v>
      </c>
      <c r="B20" s="2" t="s">
        <v>42</v>
      </c>
      <c r="C20" s="3" t="s">
        <v>33</v>
      </c>
      <c r="D20" s="1" t="s">
        <v>34</v>
      </c>
      <c r="E20" s="1" t="s">
        <v>13</v>
      </c>
      <c r="F20" s="2" t="s">
        <v>14</v>
      </c>
      <c r="G20" s="2" t="s">
        <v>17</v>
      </c>
      <c r="H20" s="1">
        <f t="shared" si="0"/>
        <v>1</v>
      </c>
      <c r="I20" s="1" t="s">
        <v>34</v>
      </c>
      <c r="J20" s="1" t="s">
        <v>35</v>
      </c>
      <c r="K20" s="1" t="s">
        <v>35</v>
      </c>
    </row>
    <row r="21" spans="1:17" ht="30" x14ac:dyDescent="0.25">
      <c r="A21" s="1" t="s">
        <v>9</v>
      </c>
      <c r="B21" s="2" t="s">
        <v>42</v>
      </c>
      <c r="C21" s="3" t="s">
        <v>38</v>
      </c>
      <c r="D21" s="1" t="s">
        <v>37</v>
      </c>
      <c r="E21" s="1" t="s">
        <v>13</v>
      </c>
      <c r="F21" s="2" t="s">
        <v>14</v>
      </c>
      <c r="G21" s="2" t="s">
        <v>17</v>
      </c>
      <c r="H21" s="1">
        <f t="shared" si="0"/>
        <v>1</v>
      </c>
      <c r="I21" s="1" t="s">
        <v>37</v>
      </c>
      <c r="J21" s="1" t="s">
        <v>36</v>
      </c>
      <c r="K21" s="1" t="s">
        <v>36</v>
      </c>
    </row>
    <row r="22" spans="1:17" ht="30" x14ac:dyDescent="0.25">
      <c r="A22" s="1" t="s">
        <v>27</v>
      </c>
      <c r="B22" s="2" t="s">
        <v>42</v>
      </c>
      <c r="C22" s="1" t="s">
        <v>20</v>
      </c>
      <c r="D22" s="1" t="s">
        <v>21</v>
      </c>
      <c r="E22" s="1" t="s">
        <v>22</v>
      </c>
      <c r="F22" s="2" t="s">
        <v>14</v>
      </c>
      <c r="G22" s="2" t="s">
        <v>17</v>
      </c>
      <c r="H22" s="1">
        <f t="shared" si="0"/>
        <v>3</v>
      </c>
      <c r="I22" s="1" t="s">
        <v>21</v>
      </c>
      <c r="J22" s="1" t="s">
        <v>24</v>
      </c>
      <c r="K22" s="1" t="s">
        <v>25</v>
      </c>
      <c r="L22" s="1" t="s">
        <v>21</v>
      </c>
      <c r="M22" s="1" t="s">
        <v>26</v>
      </c>
      <c r="N22" s="1" t="s">
        <v>26</v>
      </c>
      <c r="O22" s="1" t="s">
        <v>21</v>
      </c>
      <c r="P22" s="9" t="s">
        <v>29</v>
      </c>
      <c r="Q22" s="9" t="s">
        <v>29</v>
      </c>
    </row>
    <row r="23" spans="1:17" ht="30" x14ac:dyDescent="0.25">
      <c r="A23" s="1" t="s">
        <v>30</v>
      </c>
      <c r="B23" s="2" t="s">
        <v>42</v>
      </c>
      <c r="C23" s="1" t="s">
        <v>20</v>
      </c>
      <c r="D23" s="1" t="s">
        <v>21</v>
      </c>
      <c r="E23" s="1" t="s">
        <v>31</v>
      </c>
      <c r="F23" s="2" t="s">
        <v>14</v>
      </c>
      <c r="G23" s="2" t="s">
        <v>17</v>
      </c>
      <c r="H23" s="1">
        <f t="shared" si="0"/>
        <v>3</v>
      </c>
      <c r="I23" s="1" t="s">
        <v>21</v>
      </c>
      <c r="J23" s="1" t="s">
        <v>24</v>
      </c>
      <c r="K23" s="1" t="s">
        <v>25</v>
      </c>
      <c r="L23" s="1" t="s">
        <v>21</v>
      </c>
      <c r="M23" s="1" t="s">
        <v>26</v>
      </c>
      <c r="N23" s="1" t="s">
        <v>26</v>
      </c>
      <c r="O23" s="1" t="s">
        <v>21</v>
      </c>
      <c r="P23" s="9" t="s">
        <v>29</v>
      </c>
      <c r="Q23" s="9" t="s">
        <v>29</v>
      </c>
    </row>
    <row r="24" spans="1:17" ht="60" x14ac:dyDescent="0.25">
      <c r="A24" s="2" t="s">
        <v>9</v>
      </c>
      <c r="B24" s="2" t="s">
        <v>40</v>
      </c>
      <c r="C24" s="2" t="s">
        <v>11</v>
      </c>
      <c r="D24" s="2" t="s">
        <v>12</v>
      </c>
      <c r="E24" s="2" t="s">
        <v>13</v>
      </c>
      <c r="F24" s="2" t="s">
        <v>14</v>
      </c>
      <c r="G24" s="2" t="s">
        <v>17</v>
      </c>
      <c r="H24" s="1">
        <f t="shared" si="0"/>
        <v>1</v>
      </c>
      <c r="I24" s="2" t="s">
        <v>12</v>
      </c>
      <c r="J24" s="2" t="s">
        <v>39</v>
      </c>
      <c r="K24" s="2" t="s">
        <v>39</v>
      </c>
    </row>
    <row r="25" spans="1:17" x14ac:dyDescent="0.25">
      <c r="A25" s="2" t="s">
        <v>9</v>
      </c>
      <c r="B25" s="2" t="s">
        <v>40</v>
      </c>
      <c r="C25" s="2" t="s">
        <v>15</v>
      </c>
      <c r="D25" s="2" t="s">
        <v>16</v>
      </c>
      <c r="E25" s="2" t="s">
        <v>13</v>
      </c>
      <c r="F25" s="2" t="s">
        <v>14</v>
      </c>
      <c r="G25" s="2" t="s">
        <v>17</v>
      </c>
      <c r="H25" s="1">
        <f t="shared" si="0"/>
        <v>1</v>
      </c>
      <c r="I25" s="2" t="s">
        <v>16</v>
      </c>
      <c r="J25" s="2" t="s">
        <v>18</v>
      </c>
      <c r="K25" s="2" t="s">
        <v>18</v>
      </c>
    </row>
    <row r="26" spans="1:17" ht="45" x14ac:dyDescent="0.25">
      <c r="A26" s="1" t="s">
        <v>9</v>
      </c>
      <c r="B26" s="2" t="s">
        <v>40</v>
      </c>
      <c r="C26" s="3" t="s">
        <v>33</v>
      </c>
      <c r="D26" s="1" t="s">
        <v>34</v>
      </c>
      <c r="E26" s="1" t="s">
        <v>13</v>
      </c>
      <c r="F26" s="2" t="s">
        <v>14</v>
      </c>
      <c r="G26" s="2" t="s">
        <v>17</v>
      </c>
      <c r="H26" s="1">
        <f t="shared" si="0"/>
        <v>1</v>
      </c>
      <c r="I26" s="1" t="s">
        <v>34</v>
      </c>
      <c r="J26" s="1" t="s">
        <v>35</v>
      </c>
      <c r="K26" s="1" t="s">
        <v>35</v>
      </c>
    </row>
    <row r="27" spans="1:17" ht="30" x14ac:dyDescent="0.25">
      <c r="A27" s="1" t="s">
        <v>9</v>
      </c>
      <c r="B27" s="2" t="s">
        <v>40</v>
      </c>
      <c r="C27" s="3" t="s">
        <v>38</v>
      </c>
      <c r="D27" s="1" t="s">
        <v>37</v>
      </c>
      <c r="E27" s="1" t="s">
        <v>13</v>
      </c>
      <c r="F27" s="2" t="s">
        <v>14</v>
      </c>
      <c r="G27" s="2" t="s">
        <v>17</v>
      </c>
      <c r="H27" s="1">
        <f t="shared" si="0"/>
        <v>1</v>
      </c>
      <c r="I27" s="1" t="s">
        <v>37</v>
      </c>
      <c r="J27" s="1" t="s">
        <v>36</v>
      </c>
      <c r="K27" s="1" t="s">
        <v>36</v>
      </c>
    </row>
    <row r="28" spans="1:17" ht="30" x14ac:dyDescent="0.25">
      <c r="A28" s="1" t="s">
        <v>27</v>
      </c>
      <c r="B28" s="2" t="s">
        <v>40</v>
      </c>
      <c r="C28" s="1" t="s">
        <v>20</v>
      </c>
      <c r="D28" s="1" t="s">
        <v>21</v>
      </c>
      <c r="E28" s="1" t="s">
        <v>22</v>
      </c>
      <c r="F28" s="2" t="s">
        <v>14</v>
      </c>
      <c r="G28" s="2" t="s">
        <v>17</v>
      </c>
      <c r="H28" s="1">
        <f t="shared" si="0"/>
        <v>3</v>
      </c>
      <c r="I28" s="1" t="s">
        <v>21</v>
      </c>
      <c r="J28" s="1" t="s">
        <v>24</v>
      </c>
      <c r="K28" s="1" t="s">
        <v>25</v>
      </c>
      <c r="L28" s="1" t="s">
        <v>21</v>
      </c>
      <c r="M28" s="1" t="s">
        <v>26</v>
      </c>
      <c r="N28" s="1" t="s">
        <v>26</v>
      </c>
      <c r="O28" s="1" t="s">
        <v>21</v>
      </c>
      <c r="P28" s="9" t="s">
        <v>29</v>
      </c>
      <c r="Q28" s="9" t="s">
        <v>29</v>
      </c>
    </row>
    <row r="29" spans="1:17" ht="30" x14ac:dyDescent="0.25">
      <c r="A29" s="1" t="s">
        <v>30</v>
      </c>
      <c r="B29" s="2" t="s">
        <v>40</v>
      </c>
      <c r="C29" s="1" t="s">
        <v>20</v>
      </c>
      <c r="D29" s="1" t="s">
        <v>21</v>
      </c>
      <c r="E29" s="1" t="s">
        <v>31</v>
      </c>
      <c r="F29" s="2" t="s">
        <v>14</v>
      </c>
      <c r="G29" s="2" t="s">
        <v>17</v>
      </c>
      <c r="H29" s="1">
        <f t="shared" si="0"/>
        <v>3</v>
      </c>
      <c r="I29" s="1" t="s">
        <v>21</v>
      </c>
      <c r="J29" s="1" t="s">
        <v>24</v>
      </c>
      <c r="K29" s="1" t="s">
        <v>25</v>
      </c>
      <c r="L29" s="1" t="s">
        <v>21</v>
      </c>
      <c r="M29" s="1" t="s">
        <v>26</v>
      </c>
      <c r="N29" s="1" t="s">
        <v>26</v>
      </c>
      <c r="O29" s="1" t="s">
        <v>21</v>
      </c>
      <c r="P29" s="9" t="s">
        <v>29</v>
      </c>
      <c r="Q29" s="9" t="s">
        <v>29</v>
      </c>
    </row>
    <row r="30" spans="1:17" ht="15" customHeight="1" x14ac:dyDescent="0.25">
      <c r="A30" s="2" t="s">
        <v>9</v>
      </c>
      <c r="B30" s="1" t="s">
        <v>43</v>
      </c>
      <c r="C30" s="1" t="s">
        <v>11</v>
      </c>
      <c r="D30" s="2" t="s">
        <v>12</v>
      </c>
      <c r="E30" s="2" t="s">
        <v>13</v>
      </c>
      <c r="F30" s="2" t="s">
        <v>14</v>
      </c>
      <c r="G30" s="2" t="s">
        <v>17</v>
      </c>
      <c r="H30" s="1">
        <f t="shared" si="0"/>
        <v>1</v>
      </c>
      <c r="I30" s="2" t="s">
        <v>12</v>
      </c>
      <c r="J30" t="s">
        <v>46</v>
      </c>
      <c r="K30" t="s">
        <v>46</v>
      </c>
    </row>
    <row r="31" spans="1:17" ht="15" customHeight="1" x14ac:dyDescent="0.25">
      <c r="A31" s="2" t="s">
        <v>9</v>
      </c>
      <c r="B31" s="1" t="s">
        <v>43</v>
      </c>
      <c r="C31" s="1" t="s">
        <v>15</v>
      </c>
      <c r="D31" s="2" t="s">
        <v>16</v>
      </c>
      <c r="E31" s="2" t="s">
        <v>13</v>
      </c>
      <c r="F31" s="2" t="s">
        <v>14</v>
      </c>
      <c r="G31" s="2" t="s">
        <v>17</v>
      </c>
      <c r="H31" s="1">
        <f t="shared" si="0"/>
        <v>1</v>
      </c>
      <c r="I31" s="2" t="s">
        <v>16</v>
      </c>
      <c r="J31" s="2" t="s">
        <v>18</v>
      </c>
      <c r="K31" s="2" t="s">
        <v>18</v>
      </c>
    </row>
    <row r="32" spans="1:17" ht="15" customHeight="1" x14ac:dyDescent="0.25">
      <c r="A32" s="2" t="s">
        <v>9</v>
      </c>
      <c r="B32" s="1" t="s">
        <v>43</v>
      </c>
      <c r="C32" s="1" t="s">
        <v>38</v>
      </c>
      <c r="D32" s="1" t="s">
        <v>37</v>
      </c>
      <c r="E32" s="2" t="s">
        <v>13</v>
      </c>
      <c r="F32" s="2" t="s">
        <v>14</v>
      </c>
      <c r="G32" s="2" t="s">
        <v>17</v>
      </c>
      <c r="H32" s="1">
        <f t="shared" si="0"/>
        <v>1</v>
      </c>
      <c r="I32" s="1" t="s">
        <v>37</v>
      </c>
      <c r="J32" s="1" t="s">
        <v>36</v>
      </c>
      <c r="K32" s="1" t="s">
        <v>36</v>
      </c>
    </row>
    <row r="33" spans="1:11" ht="15" customHeight="1" x14ac:dyDescent="0.25">
      <c r="A33" s="2" t="s">
        <v>9</v>
      </c>
      <c r="B33" s="1" t="s">
        <v>44</v>
      </c>
      <c r="C33" s="1" t="s">
        <v>11</v>
      </c>
      <c r="D33" s="2" t="s">
        <v>12</v>
      </c>
      <c r="E33" s="2" t="s">
        <v>13</v>
      </c>
      <c r="F33" s="2" t="s">
        <v>14</v>
      </c>
      <c r="G33" s="2" t="s">
        <v>17</v>
      </c>
      <c r="H33" s="1">
        <f t="shared" si="0"/>
        <v>1</v>
      </c>
      <c r="I33" s="2" t="s">
        <v>12</v>
      </c>
      <c r="J33" t="s">
        <v>46</v>
      </c>
      <c r="K33" t="s">
        <v>46</v>
      </c>
    </row>
    <row r="34" spans="1:11" ht="15" customHeight="1" x14ac:dyDescent="0.25">
      <c r="A34" s="2" t="s">
        <v>9</v>
      </c>
      <c r="B34" s="1" t="s">
        <v>44</v>
      </c>
      <c r="C34" s="1" t="s">
        <v>15</v>
      </c>
      <c r="D34" s="2" t="s">
        <v>16</v>
      </c>
      <c r="E34" s="2" t="s">
        <v>13</v>
      </c>
      <c r="F34" s="2" t="s">
        <v>14</v>
      </c>
      <c r="G34" s="2" t="s">
        <v>17</v>
      </c>
      <c r="H34" s="1">
        <f t="shared" si="0"/>
        <v>1</v>
      </c>
      <c r="I34" s="2" t="s">
        <v>16</v>
      </c>
      <c r="J34" s="2" t="s">
        <v>18</v>
      </c>
      <c r="K34" s="2" t="s">
        <v>18</v>
      </c>
    </row>
    <row r="35" spans="1:11" ht="15" customHeight="1" x14ac:dyDescent="0.25">
      <c r="A35" s="2" t="s">
        <v>9</v>
      </c>
      <c r="B35" s="1" t="s">
        <v>44</v>
      </c>
      <c r="C35" s="1" t="s">
        <v>38</v>
      </c>
      <c r="D35" s="1" t="s">
        <v>37</v>
      </c>
      <c r="E35" s="2" t="s">
        <v>13</v>
      </c>
      <c r="F35" s="2" t="s">
        <v>14</v>
      </c>
      <c r="G35" s="2" t="s">
        <v>17</v>
      </c>
      <c r="H35" s="1">
        <f t="shared" si="0"/>
        <v>1</v>
      </c>
      <c r="I35" s="1" t="s">
        <v>37</v>
      </c>
      <c r="J35" s="1" t="s">
        <v>36</v>
      </c>
      <c r="K35" s="1" t="s">
        <v>36</v>
      </c>
    </row>
    <row r="36" spans="1:11" ht="15" customHeight="1" x14ac:dyDescent="0.25">
      <c r="A36" s="2" t="s">
        <v>9</v>
      </c>
      <c r="B36" s="1" t="s">
        <v>45</v>
      </c>
      <c r="C36" s="1" t="s">
        <v>11</v>
      </c>
      <c r="D36" s="2" t="s">
        <v>12</v>
      </c>
      <c r="E36" s="2" t="s">
        <v>13</v>
      </c>
      <c r="F36" s="2" t="s">
        <v>14</v>
      </c>
      <c r="G36" s="2" t="s">
        <v>17</v>
      </c>
      <c r="H36" s="1">
        <f t="shared" si="0"/>
        <v>1</v>
      </c>
      <c r="I36" s="2" t="s">
        <v>12</v>
      </c>
      <c r="J36" t="s">
        <v>46</v>
      </c>
      <c r="K36" t="s">
        <v>46</v>
      </c>
    </row>
    <row r="37" spans="1:11" ht="15" customHeight="1" x14ac:dyDescent="0.25">
      <c r="A37" s="2" t="s">
        <v>9</v>
      </c>
      <c r="B37" s="1" t="s">
        <v>45</v>
      </c>
      <c r="C37" s="1" t="s">
        <v>15</v>
      </c>
      <c r="D37" s="2" t="s">
        <v>16</v>
      </c>
      <c r="E37" s="2" t="s">
        <v>13</v>
      </c>
      <c r="F37" s="2" t="s">
        <v>14</v>
      </c>
      <c r="G37" s="2" t="s">
        <v>17</v>
      </c>
      <c r="H37" s="1">
        <f t="shared" si="0"/>
        <v>1</v>
      </c>
      <c r="I37" s="2" t="s">
        <v>16</v>
      </c>
      <c r="J37" s="2" t="s">
        <v>18</v>
      </c>
      <c r="K37" s="2" t="s">
        <v>18</v>
      </c>
    </row>
    <row r="38" spans="1:11" ht="15" customHeight="1" x14ac:dyDescent="0.25">
      <c r="A38" s="2" t="s">
        <v>55</v>
      </c>
      <c r="B38" s="10" t="s">
        <v>47</v>
      </c>
      <c r="C38" s="2" t="s">
        <v>53</v>
      </c>
      <c r="D38" s="2" t="s">
        <v>21</v>
      </c>
      <c r="E38" s="2" t="s">
        <v>13</v>
      </c>
      <c r="F38" s="2" t="s">
        <v>14</v>
      </c>
      <c r="G38" s="2" t="s">
        <v>57</v>
      </c>
      <c r="H38" s="1"/>
      <c r="I38" s="2" t="s">
        <v>56</v>
      </c>
    </row>
    <row r="39" spans="1:11" ht="15" customHeight="1" x14ac:dyDescent="0.25">
      <c r="A39" s="2" t="s">
        <v>9</v>
      </c>
      <c r="B39" s="10" t="s">
        <v>47</v>
      </c>
      <c r="C39" s="2" t="s">
        <v>52</v>
      </c>
      <c r="E39" s="2" t="s">
        <v>13</v>
      </c>
      <c r="F39" s="2" t="s">
        <v>14</v>
      </c>
      <c r="H39" s="1"/>
    </row>
    <row r="40" spans="1:11" ht="15" customHeight="1" x14ac:dyDescent="0.25">
      <c r="B40" s="10" t="s">
        <v>47</v>
      </c>
      <c r="C40" s="11" t="s">
        <v>20</v>
      </c>
      <c r="E40" s="2" t="s">
        <v>13</v>
      </c>
      <c r="F40" s="2" t="s">
        <v>14</v>
      </c>
      <c r="H40" s="1"/>
    </row>
    <row r="41" spans="1:11" ht="15" customHeight="1" x14ac:dyDescent="0.25">
      <c r="B41" s="10" t="s">
        <v>47</v>
      </c>
      <c r="C41" s="2" t="s">
        <v>54</v>
      </c>
      <c r="E41" s="2" t="s">
        <v>31</v>
      </c>
      <c r="F41" s="2" t="s">
        <v>14</v>
      </c>
      <c r="H41" s="1"/>
    </row>
    <row r="42" spans="1:11" ht="15" customHeight="1" x14ac:dyDescent="0.25">
      <c r="A42" s="2" t="s">
        <v>55</v>
      </c>
      <c r="B42" s="10" t="s">
        <v>48</v>
      </c>
      <c r="C42" s="2" t="s">
        <v>53</v>
      </c>
      <c r="D42" s="2" t="s">
        <v>21</v>
      </c>
      <c r="E42" s="2" t="s">
        <v>13</v>
      </c>
      <c r="F42" s="2" t="s">
        <v>14</v>
      </c>
      <c r="G42" s="2" t="s">
        <v>57</v>
      </c>
      <c r="H42" s="1"/>
      <c r="I42" s="2" t="s">
        <v>56</v>
      </c>
    </row>
    <row r="43" spans="1:11" ht="15" customHeight="1" x14ac:dyDescent="0.25">
      <c r="A43" s="2" t="s">
        <v>9</v>
      </c>
      <c r="B43" s="10" t="s">
        <v>48</v>
      </c>
      <c r="C43" s="2" t="s">
        <v>52</v>
      </c>
      <c r="E43" s="2" t="s">
        <v>13</v>
      </c>
      <c r="F43" s="2" t="s">
        <v>14</v>
      </c>
      <c r="H43" s="1"/>
    </row>
    <row r="44" spans="1:11" ht="15" customHeight="1" x14ac:dyDescent="0.25">
      <c r="B44" s="10" t="s">
        <v>48</v>
      </c>
      <c r="C44" s="11" t="s">
        <v>20</v>
      </c>
      <c r="E44" s="2" t="s">
        <v>13</v>
      </c>
      <c r="F44" s="2" t="s">
        <v>14</v>
      </c>
      <c r="H44" s="1"/>
    </row>
    <row r="45" spans="1:11" ht="15" customHeight="1" x14ac:dyDescent="0.25">
      <c r="B45" s="10" t="s">
        <v>48</v>
      </c>
      <c r="C45" s="2" t="s">
        <v>54</v>
      </c>
      <c r="E45" s="2" t="s">
        <v>31</v>
      </c>
      <c r="F45" s="2" t="s">
        <v>14</v>
      </c>
      <c r="H45" s="1"/>
    </row>
    <row r="46" spans="1:11" ht="15" customHeight="1" x14ac:dyDescent="0.25">
      <c r="A46" s="2" t="s">
        <v>55</v>
      </c>
      <c r="B46" s="10" t="s">
        <v>49</v>
      </c>
      <c r="C46" s="2" t="s">
        <v>53</v>
      </c>
      <c r="D46" s="2" t="s">
        <v>21</v>
      </c>
      <c r="E46" s="2" t="s">
        <v>13</v>
      </c>
      <c r="F46" s="2" t="s">
        <v>14</v>
      </c>
      <c r="G46" s="2" t="s">
        <v>57</v>
      </c>
      <c r="H46" s="1"/>
      <c r="I46" s="2" t="s">
        <v>56</v>
      </c>
    </row>
    <row r="47" spans="1:11" ht="15" customHeight="1" x14ac:dyDescent="0.25">
      <c r="A47" s="2" t="s">
        <v>9</v>
      </c>
      <c r="B47" s="10" t="s">
        <v>49</v>
      </c>
      <c r="C47" s="2" t="s">
        <v>52</v>
      </c>
      <c r="E47" s="2" t="s">
        <v>13</v>
      </c>
      <c r="F47" s="2" t="s">
        <v>14</v>
      </c>
      <c r="H47" s="1"/>
    </row>
    <row r="48" spans="1:11" ht="15" customHeight="1" x14ac:dyDescent="0.25">
      <c r="B48" s="10" t="s">
        <v>49</v>
      </c>
      <c r="C48" s="11" t="s">
        <v>20</v>
      </c>
      <c r="E48" s="2" t="s">
        <v>13</v>
      </c>
      <c r="F48" s="2" t="s">
        <v>14</v>
      </c>
      <c r="H48" s="1"/>
    </row>
    <row r="49" spans="1:9" ht="15" customHeight="1" x14ac:dyDescent="0.25">
      <c r="B49" s="10" t="s">
        <v>49</v>
      </c>
      <c r="C49" s="2" t="s">
        <v>54</v>
      </c>
      <c r="E49" s="2" t="s">
        <v>31</v>
      </c>
      <c r="F49" s="2" t="s">
        <v>14</v>
      </c>
      <c r="H49" s="1"/>
    </row>
    <row r="50" spans="1:9" ht="15" customHeight="1" x14ac:dyDescent="0.25">
      <c r="A50" s="2" t="s">
        <v>9</v>
      </c>
      <c r="B50" s="10" t="s">
        <v>50</v>
      </c>
      <c r="C50" s="2" t="s">
        <v>52</v>
      </c>
      <c r="E50" s="2" t="s">
        <v>13</v>
      </c>
      <c r="F50" s="2" t="s">
        <v>14</v>
      </c>
      <c r="H50" s="1"/>
    </row>
    <row r="51" spans="1:9" ht="15" customHeight="1" x14ac:dyDescent="0.25">
      <c r="B51" s="10" t="s">
        <v>50</v>
      </c>
      <c r="C51" s="11" t="s">
        <v>20</v>
      </c>
      <c r="E51" s="2" t="s">
        <v>13</v>
      </c>
      <c r="F51" s="2" t="s">
        <v>14</v>
      </c>
      <c r="H51" s="1"/>
    </row>
    <row r="52" spans="1:9" ht="15" customHeight="1" x14ac:dyDescent="0.25">
      <c r="B52" s="10" t="s">
        <v>50</v>
      </c>
      <c r="C52" s="2" t="s">
        <v>54</v>
      </c>
      <c r="E52" s="2" t="s">
        <v>31</v>
      </c>
      <c r="F52" s="2" t="s">
        <v>14</v>
      </c>
      <c r="H52" s="1"/>
    </row>
    <row r="53" spans="1:9" ht="15" customHeight="1" x14ac:dyDescent="0.25">
      <c r="A53" s="2" t="s">
        <v>55</v>
      </c>
      <c r="B53" s="10" t="s">
        <v>51</v>
      </c>
      <c r="C53" s="2" t="s">
        <v>53</v>
      </c>
      <c r="D53" s="2" t="s">
        <v>21</v>
      </c>
      <c r="E53" s="2" t="s">
        <v>13</v>
      </c>
      <c r="F53" s="2" t="s">
        <v>14</v>
      </c>
      <c r="G53" s="2" t="s">
        <v>57</v>
      </c>
      <c r="H53" s="1"/>
      <c r="I53" s="2" t="s">
        <v>56</v>
      </c>
    </row>
    <row r="54" spans="1:9" ht="15" customHeight="1" x14ac:dyDescent="0.25">
      <c r="A54" s="2" t="s">
        <v>9</v>
      </c>
      <c r="B54" s="10" t="s">
        <v>51</v>
      </c>
      <c r="C54" s="2" t="s">
        <v>52</v>
      </c>
      <c r="E54" s="2" t="s">
        <v>13</v>
      </c>
      <c r="F54" s="2" t="s">
        <v>14</v>
      </c>
      <c r="H54" s="1"/>
    </row>
    <row r="55" spans="1:9" ht="15" customHeight="1" x14ac:dyDescent="0.25">
      <c r="B55" s="10" t="s">
        <v>51</v>
      </c>
      <c r="C55" s="11" t="s">
        <v>20</v>
      </c>
      <c r="E55" s="2" t="s">
        <v>13</v>
      </c>
      <c r="F55" s="2" t="s">
        <v>14</v>
      </c>
      <c r="H55" s="1"/>
    </row>
  </sheetData>
  <autoFilter ref="A1:T55" xr:uid="{00000000-0001-0000-0000-000000000000}"/>
  <phoneticPr fontId="1" type="noConversion"/>
  <dataValidations count="1">
    <dataValidation type="list" allowBlank="1" showInputMessage="1" showErrorMessage="1" sqref="G2:G55" xr:uid="{18612B50-46E6-4B80-8E9F-A7A3D5687779}">
      <formula1>"Predefinido, No pefinido"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Relación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Fernández González, Yailín</cp:lastModifiedBy>
  <dcterms:created xsi:type="dcterms:W3CDTF">2026-06-29T10:22:34Z</dcterms:created>
  <dcterms:modified xsi:type="dcterms:W3CDTF">2026-07-27T12:39:32Z</dcterms:modified>
</cp:coreProperties>
</file>