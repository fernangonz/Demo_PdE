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0"/>
  <sheetViews>
    <sheetView tabSelected="1" topLeftCell="A52" workbookViewId="0">
      <selection activeCell="C80" sqref="C80"/>
    </sheetView>
  </sheetViews>
  <sheetFormatPr baseColWidth="10" defaultColWidth="9.140625" defaultRowHeight="15"/>
  <cols>
    <col width="22.5703125" bestFit="1" customWidth="1" style="1" min="1" max="1"/>
    <col width="73.140625" bestFit="1" customWidth="1" style="1" min="2" max="2"/>
    <col width="31.5703125" bestFit="1" customWidth="1" style="1" min="3" max="3"/>
    <col width="17.85546875" bestFit="1" customWidth="1" style="1" min="4" max="4"/>
    <col width="15.140625" bestFit="1" customWidth="1" style="1" min="5" max="5"/>
    <col width="9" bestFit="1" customWidth="1" style="1" min="6" max="6"/>
    <col width="18.28515625" bestFit="1" customWidth="1" style="1" min="7" max="7"/>
    <col width="14.28515625" bestFit="1" customWidth="1" style="1" min="8" max="8"/>
    <col width="17.85546875" bestFit="1" customWidth="1" style="1" min="9" max="9"/>
    <col width="181.42578125" bestFit="1" customWidth="1" style="1" min="10" max="11"/>
    <col width="12.85546875" bestFit="1" customWidth="1" style="1" min="12" max="12"/>
    <col width="40.7109375" bestFit="1" customWidth="1" style="1" min="13" max="14"/>
    <col width="12.85546875" bestFit="1" customWidth="1" style="1" min="15" max="15"/>
    <col width="34.7109375" bestFit="1" customWidth="1" style="1" min="16" max="17"/>
  </cols>
  <sheetData>
    <row r="1">
      <c r="A1" t="inlineStr">
        <is>
          <t>Modelo</t>
        </is>
      </c>
      <c r="B1" t="inlineStr">
        <is>
          <t>Activo físico u Operacional</t>
        </is>
      </c>
      <c r="C1" t="inlineStr">
        <is>
          <t>Modos de fallo / Modos de parada</t>
        </is>
      </c>
      <c r="D1" t="inlineStr">
        <is>
          <t>Variable</t>
        </is>
      </c>
      <c r="E1" t="inlineStr">
        <is>
          <t>Tipo de impacto</t>
        </is>
      </c>
      <c r="F1" t="inlineStr">
        <is>
          <t>Percentil</t>
        </is>
      </c>
      <c r="G1" t="inlineStr">
        <is>
          <t>Selección indicador</t>
        </is>
      </c>
      <c r="H1" t="inlineStr">
        <is>
          <t>No indicadores</t>
        </is>
      </c>
      <c r="I1" t="inlineStr">
        <is>
          <t>Pestaña</t>
        </is>
      </c>
      <c r="J1" t="inlineStr">
        <is>
          <t>Indicador climático</t>
        </is>
      </c>
      <c r="K1" t="inlineStr">
        <is>
          <t>Etiqueta</t>
        </is>
      </c>
      <c r="L1" t="inlineStr">
        <is>
          <t>Pestaña.1</t>
        </is>
      </c>
      <c r="M1" t="inlineStr">
        <is>
          <t>Indicador climático.1</t>
        </is>
      </c>
      <c r="N1" t="inlineStr">
        <is>
          <t>Etiqueta.1</t>
        </is>
      </c>
      <c r="O1" t="inlineStr">
        <is>
          <t>Pestaña.2</t>
        </is>
      </c>
      <c r="P1" t="inlineStr">
        <is>
          <t>Indicador climático.2</t>
        </is>
      </c>
      <c r="Q1" t="inlineStr">
        <is>
          <t>Etiqueta.2</t>
        </is>
      </c>
    </row>
    <row r="2">
      <c r="A2" t="inlineStr">
        <is>
          <t>PI superación de umbral</t>
        </is>
      </c>
      <c r="B2" t="inlineStr">
        <is>
          <t>Zona de fondeo y espera exterior</t>
        </is>
      </c>
      <c r="C2" t="inlineStr">
        <is>
          <t>Exceso de Oleaje</t>
        </is>
      </c>
      <c r="D2" t="inlineStr">
        <is>
          <t>Oleaje</t>
        </is>
      </c>
      <c r="E2" t="inlineStr">
        <is>
          <t>ELO</t>
        </is>
      </c>
      <c r="F2" t="inlineStr">
        <is>
          <t>P99</t>
        </is>
      </c>
      <c r="G2" t="inlineStr">
        <is>
          <t>Predefinido</t>
        </is>
      </c>
      <c r="H2">
        <f>IF(COUNTA(I2:Q2)&lt;3,"",COUNTA(I2:Q2)/3)</f>
        <v/>
      </c>
      <c r="I2" t="inlineStr">
        <is>
          <t>Oleaje</t>
        </is>
      </c>
      <c r="J2" t="inlineStr">
        <is>
          <t>Número de horas al año con condiciones desfavorables en la zona de navegación, definidas por una altura significativa de ola &gt; 2,5 m</t>
        </is>
      </c>
      <c r="K2" t="inlineStr">
        <is>
          <t>Número de horas al año con condiciones desfavorables en la zona de navegación, definidas por una altura significativa de ola &gt; 2,5 m</t>
        </is>
      </c>
    </row>
    <row r="3">
      <c r="A3" t="inlineStr">
        <is>
          <t>PI superación de umbral</t>
        </is>
      </c>
      <c r="B3" t="inlineStr">
        <is>
          <t>Zona de fondeo y espera exterior</t>
        </is>
      </c>
      <c r="C3" t="inlineStr">
        <is>
          <t>Exceso de Viento</t>
        </is>
      </c>
      <c r="D3" t="inlineStr">
        <is>
          <t>Viento</t>
        </is>
      </c>
      <c r="E3" t="inlineStr">
        <is>
          <t>ELO</t>
        </is>
      </c>
      <c r="F3" t="inlineStr">
        <is>
          <t>P99</t>
        </is>
      </c>
      <c r="G3" t="inlineStr">
        <is>
          <t>Predefinido</t>
        </is>
      </c>
      <c r="H3">
        <f>IF(COUNTA(I3:Q3)&lt;3,"",COUNTA(I3:Q3)/3)</f>
        <v/>
      </c>
      <c r="I3" t="inlineStr">
        <is>
          <t>Viento</t>
        </is>
      </c>
      <c r="J3" t="inlineStr">
        <is>
          <t>Número de días con vientos extremos</t>
        </is>
      </c>
      <c r="K3" t="inlineStr">
        <is>
          <t>Número de días con vientos extremos</t>
        </is>
      </c>
    </row>
    <row r="4">
      <c r="A4" t="inlineStr">
        <is>
          <t>OPEX falta de calado</t>
        </is>
      </c>
      <c r="B4" t="inlineStr">
        <is>
          <t>Zona de fondeo y espera exterior</t>
        </is>
      </c>
      <c r="C4" t="inlineStr">
        <is>
          <t>Falta de Calado</t>
        </is>
      </c>
      <c r="D4" t="inlineStr">
        <is>
          <t>Nivel del mar</t>
        </is>
      </c>
      <c r="E4" t="inlineStr">
        <is>
          <t>ELS</t>
        </is>
      </c>
      <c r="F4" t="inlineStr">
        <is>
          <t>P99</t>
        </is>
      </c>
      <c r="G4" t="inlineStr">
        <is>
          <t>Predefinido</t>
        </is>
      </c>
      <c r="H4">
        <f>IF(COUNTA(I4:Q4)&lt;3,"",COUNTA(I4:Q4)/3)</f>
        <v/>
      </c>
      <c r="I4" t="inlineStr">
        <is>
          <t>Nivel del mar</t>
        </is>
      </c>
      <c r="J4" t="inlineStr">
        <is>
          <t>Ascenso relativo del nivel del mar</t>
        </is>
      </c>
      <c r="K4" t="inlineStr">
        <is>
          <t>Ascenso relativo del nivel del mar (m)</t>
        </is>
      </c>
      <c r="L4" t="inlineStr">
        <is>
          <t>Nivel del mar</t>
        </is>
      </c>
      <c r="M4" t="inlineStr">
        <is>
          <t>Calado objetivo de los poligonos de dragado</t>
        </is>
      </c>
      <c r="N4" t="inlineStr">
        <is>
          <t>Calado objetivo de los poligonos de dragado</t>
        </is>
      </c>
      <c r="O4" t="inlineStr">
        <is>
          <t>Nivel del mar</t>
        </is>
      </c>
      <c r="P4" t="inlineStr">
        <is>
          <t>Tasa de sedimentación anual (m/año)</t>
        </is>
      </c>
      <c r="Q4" t="inlineStr">
        <is>
          <t>Tasa de sedimentación anual (m/año)</t>
        </is>
      </c>
    </row>
    <row r="5">
      <c r="A5" t="inlineStr">
        <is>
          <t>CAPEX falta de calado</t>
        </is>
      </c>
      <c r="B5" t="inlineStr">
        <is>
          <t>Zona de fondeo y espera exterior</t>
        </is>
      </c>
      <c r="C5" t="inlineStr">
        <is>
          <t>Falta de Calado</t>
        </is>
      </c>
      <c r="D5" t="inlineStr">
        <is>
          <t>Nivel del mar</t>
        </is>
      </c>
      <c r="E5" t="inlineStr">
        <is>
          <t>ELU</t>
        </is>
      </c>
      <c r="F5" t="inlineStr">
        <is>
          <t>P99</t>
        </is>
      </c>
      <c r="G5" t="inlineStr">
        <is>
          <t>Predefinido</t>
        </is>
      </c>
      <c r="H5">
        <f>IF(COUNTA(I5:Q5)&lt;3,"",COUNTA(I5:Q5)/3)</f>
        <v/>
      </c>
      <c r="I5" t="inlineStr">
        <is>
          <t>Nivel del mar</t>
        </is>
      </c>
      <c r="J5" t="inlineStr">
        <is>
          <t>Ascenso relativo del nivel del mar</t>
        </is>
      </c>
      <c r="K5" t="inlineStr">
        <is>
          <t>Ascenso relativo del nivel del mar (m)</t>
        </is>
      </c>
      <c r="L5" t="inlineStr">
        <is>
          <t>Nivel del mar</t>
        </is>
      </c>
      <c r="M5" t="inlineStr">
        <is>
          <t>Calado objetivo de los poligonos de dragado</t>
        </is>
      </c>
      <c r="N5" t="inlineStr">
        <is>
          <t>Calado objetivo de los poligonos de dragado</t>
        </is>
      </c>
      <c r="O5" t="inlineStr">
        <is>
          <t>Nivel del mar</t>
        </is>
      </c>
      <c r="P5" t="inlineStr">
        <is>
          <t>Tasa de sedimentación anual (m/año)</t>
        </is>
      </c>
      <c r="Q5" t="inlineStr">
        <is>
          <t>Tasa de sedimentación anual (m/año)</t>
        </is>
      </c>
    </row>
    <row r="6">
      <c r="A6" t="inlineStr">
        <is>
          <t>PI superación de umbral</t>
        </is>
      </c>
      <c r="B6" t="inlineStr">
        <is>
          <t>Bocana</t>
        </is>
      </c>
      <c r="C6" t="inlineStr">
        <is>
          <t>Exceso de Oleaje</t>
        </is>
      </c>
      <c r="D6" t="inlineStr">
        <is>
          <t>Oleaje</t>
        </is>
      </c>
      <c r="E6" t="inlineStr">
        <is>
          <t>ELO</t>
        </is>
      </c>
      <c r="F6" t="inlineStr">
        <is>
          <t>P99</t>
        </is>
      </c>
      <c r="G6" t="inlineStr">
        <is>
          <t>Predefinido</t>
        </is>
      </c>
      <c r="H6">
        <f>IF(COUNTA(I6:Q6)&lt;3,"",COUNTA(I6:Q6)/3)</f>
        <v/>
      </c>
      <c r="I6" t="inlineStr">
        <is>
          <t>Oleaje</t>
        </is>
      </c>
      <c r="J6" t="inlineStr">
        <is>
          <t>Número de horas al año con condiciones desfavorables en la zona de navegación, definidas por una altura significativa de ola &gt; 2,0 m</t>
        </is>
      </c>
      <c r="K6" t="inlineStr">
        <is>
          <t>Número de horas al año con condiciones desfavorables en la zona de navegación, definidas por una altura significativa de ola &gt; 2,0 m</t>
        </is>
      </c>
    </row>
    <row r="7">
      <c r="A7" t="inlineStr">
        <is>
          <t>PI superación de umbral</t>
        </is>
      </c>
      <c r="B7" t="inlineStr">
        <is>
          <t>Bocana</t>
        </is>
      </c>
      <c r="C7" t="inlineStr">
        <is>
          <t>Exceso de Viento</t>
        </is>
      </c>
      <c r="D7" t="inlineStr">
        <is>
          <t>Viento</t>
        </is>
      </c>
      <c r="E7" t="inlineStr">
        <is>
          <t>ELO</t>
        </is>
      </c>
      <c r="F7" t="inlineStr">
        <is>
          <t>P99</t>
        </is>
      </c>
      <c r="G7" t="inlineStr">
        <is>
          <t>Predefinido</t>
        </is>
      </c>
      <c r="H7">
        <f>IF(COUNTA(I7:Q7)&lt;3,"",COUNTA(I7:Q7)/3)</f>
        <v/>
      </c>
      <c r="I7" t="inlineStr">
        <is>
          <t>Viento</t>
        </is>
      </c>
      <c r="J7" t="inlineStr">
        <is>
          <t>Número de días con vientos extremos</t>
        </is>
      </c>
      <c r="K7" t="inlineStr">
        <is>
          <t>Número de días con vientos extremos</t>
        </is>
      </c>
    </row>
    <row r="8">
      <c r="A8" t="inlineStr">
        <is>
          <t>OPEX falta de calado</t>
        </is>
      </c>
      <c r="B8" t="inlineStr">
        <is>
          <t>Bocana</t>
        </is>
      </c>
      <c r="C8" t="inlineStr">
        <is>
          <t>Falta de Calado</t>
        </is>
      </c>
      <c r="D8" t="inlineStr">
        <is>
          <t>Nivel del mar</t>
        </is>
      </c>
      <c r="E8" t="inlineStr">
        <is>
          <t>ELS</t>
        </is>
      </c>
      <c r="F8" t="inlineStr">
        <is>
          <t>P99</t>
        </is>
      </c>
      <c r="G8" t="inlineStr">
        <is>
          <t>Predefinido</t>
        </is>
      </c>
      <c r="H8">
        <f>IF(COUNTA(I8:Q8)&lt;3,"",COUNTA(I8:Q8)/3)</f>
        <v/>
      </c>
      <c r="I8" t="inlineStr">
        <is>
          <t>Nivel del mar</t>
        </is>
      </c>
      <c r="J8" t="inlineStr">
        <is>
          <t>Ascenso relativo del nivel del mar</t>
        </is>
      </c>
      <c r="K8" t="inlineStr">
        <is>
          <t>Ascenso relativo del nivel del mar (m)</t>
        </is>
      </c>
      <c r="L8" t="inlineStr">
        <is>
          <t>Nivel del mar</t>
        </is>
      </c>
      <c r="M8" t="inlineStr">
        <is>
          <t>Calado objetivo de los poligonos de dragado</t>
        </is>
      </c>
      <c r="N8" t="inlineStr">
        <is>
          <t>Calado objetivo de los poligonos de dragado</t>
        </is>
      </c>
      <c r="O8" t="inlineStr">
        <is>
          <t>Nivel del mar</t>
        </is>
      </c>
      <c r="P8" t="inlineStr">
        <is>
          <t>Tasa de sedimentación anual (m/año)</t>
        </is>
      </c>
      <c r="Q8" t="inlineStr">
        <is>
          <t>Tasa de sedimentación anual (m/año)</t>
        </is>
      </c>
    </row>
    <row r="9">
      <c r="A9" t="inlineStr">
        <is>
          <t>CAPEX falta de calado</t>
        </is>
      </c>
      <c r="B9" t="inlineStr">
        <is>
          <t>Bocana</t>
        </is>
      </c>
      <c r="C9" t="inlineStr">
        <is>
          <t>Falta de Calado</t>
        </is>
      </c>
      <c r="D9" t="inlineStr">
        <is>
          <t>Nivel del mar</t>
        </is>
      </c>
      <c r="E9" t="inlineStr">
        <is>
          <t>ELU</t>
        </is>
      </c>
      <c r="F9" t="inlineStr">
        <is>
          <t>P99</t>
        </is>
      </c>
      <c r="G9" t="inlineStr">
        <is>
          <t>Predefinido</t>
        </is>
      </c>
      <c r="H9">
        <f>IF(COUNTA(I9:Q9)&lt;3,"",COUNTA(I9:Q9)/3)</f>
        <v/>
      </c>
      <c r="I9" t="inlineStr">
        <is>
          <t>Nivel del mar</t>
        </is>
      </c>
      <c r="J9" t="inlineStr">
        <is>
          <t>Ascenso relativo del nivel del mar</t>
        </is>
      </c>
      <c r="K9" t="inlineStr">
        <is>
          <t>Ascenso relativo del nivel del mar (m)</t>
        </is>
      </c>
      <c r="L9" t="inlineStr">
        <is>
          <t>Nivel del mar</t>
        </is>
      </c>
      <c r="M9" t="inlineStr">
        <is>
          <t>Calado objetivo de los poligonos de dragado</t>
        </is>
      </c>
      <c r="N9" t="inlineStr">
        <is>
          <t>Calado objetivo de los poligonos de dragado</t>
        </is>
      </c>
      <c r="O9" t="inlineStr">
        <is>
          <t>Nivel del mar</t>
        </is>
      </c>
      <c r="P9" t="inlineStr">
        <is>
          <t>Tasa de sedimentación anual (m/año)</t>
        </is>
      </c>
      <c r="Q9" t="inlineStr">
        <is>
          <t>Tasa de sedimentación anual (m/año)</t>
        </is>
      </c>
    </row>
    <row r="10">
      <c r="A10" t="inlineStr">
        <is>
          <t>PI superación de umbral</t>
        </is>
      </c>
      <c r="B10" t="inlineStr">
        <is>
          <t>Bocana</t>
        </is>
      </c>
      <c r="C10" t="inlineStr">
        <is>
          <t>Exceso de Corriente</t>
        </is>
      </c>
      <c r="D10" t="inlineStr">
        <is>
          <t>Corriente</t>
        </is>
      </c>
      <c r="E10" t="inlineStr">
        <is>
          <t>ELO</t>
        </is>
      </c>
      <c r="F10" t="inlineStr">
        <is>
          <t>P99</t>
        </is>
      </c>
      <c r="G10" t="inlineStr">
        <is>
          <t>Predefinido</t>
        </is>
      </c>
      <c r="H10">
        <f>IF(COUNTA(I10:Q10)&lt;3,"",COUNTA(I10:Q10)/3)</f>
        <v/>
      </c>
      <c r="I10" t="inlineStr">
        <is>
          <t>Corriente</t>
        </is>
      </c>
      <c r="J10" t="inlineStr">
        <is>
          <t>Número medio de días al año con velocidad de corriente media diaria superior a 0.5 m/s</t>
        </is>
      </c>
      <c r="K10" t="inlineStr">
        <is>
          <t>Número medio de días al año con velocidad de corriente media diaria superior a 0.5 m/s</t>
        </is>
      </c>
    </row>
    <row r="11">
      <c r="A11" t="inlineStr">
        <is>
          <t>PI superación de umbral</t>
        </is>
      </c>
      <c r="B11" t="inlineStr">
        <is>
          <t>Bocana</t>
        </is>
      </c>
      <c r="C11" t="inlineStr">
        <is>
          <t>Visibilidad reducida</t>
        </is>
      </c>
      <c r="D11" t="inlineStr">
        <is>
          <t>Visibilidad</t>
        </is>
      </c>
      <c r="E11" t="inlineStr">
        <is>
          <t>ELO</t>
        </is>
      </c>
      <c r="F11" t="inlineStr">
        <is>
          <t>P99</t>
        </is>
      </c>
      <c r="G11" t="inlineStr">
        <is>
          <t>Predefinido</t>
        </is>
      </c>
      <c r="H11">
        <f>IF(COUNTA(I11:Q11)&lt;3,"",COUNTA(I11:Q11)/3)</f>
        <v/>
      </c>
      <c r="I11" t="inlineStr">
        <is>
          <t>Visibilidad</t>
        </is>
      </c>
      <c r="J11" t="inlineStr">
        <is>
          <t>Número medio de días al año con visibiliad inferior a 1 km</t>
        </is>
      </c>
      <c r="K11" t="inlineStr">
        <is>
          <t>Número medio de días al año con visibiliad inferior a 1 km</t>
        </is>
      </c>
    </row>
    <row r="12">
      <c r="A12" t="inlineStr">
        <is>
          <t>PI superación de umbral</t>
        </is>
      </c>
      <c r="B12" t="inlineStr">
        <is>
          <t>Canal de acceso/ navegación</t>
        </is>
      </c>
      <c r="C12" t="inlineStr">
        <is>
          <t>Exceso de Oleaje</t>
        </is>
      </c>
      <c r="D12" t="inlineStr">
        <is>
          <t>Oleaje</t>
        </is>
      </c>
      <c r="E12" t="inlineStr">
        <is>
          <t>ELO</t>
        </is>
      </c>
      <c r="F12" t="inlineStr">
        <is>
          <t>P99</t>
        </is>
      </c>
      <c r="G12" t="inlineStr">
        <is>
          <t>Predefinido</t>
        </is>
      </c>
      <c r="H12">
        <f>IF(COUNTA(I12:Q12)&lt;3,"",COUNTA(I12:Q12)/3)</f>
        <v/>
      </c>
      <c r="I12" t="inlineStr">
        <is>
          <t>Oleaje</t>
        </is>
      </c>
      <c r="J12" t="inlineStr">
        <is>
          <t>Número de horas al año con condiciones desfavorables en la zona de navegación, definidas por una altura significativa de ola &gt; 2,0 m</t>
        </is>
      </c>
      <c r="K12" t="inlineStr">
        <is>
          <t>Número de horas al año con condiciones desfavorables en la zona de navegación, definidas por una altura significativa de ola &gt; 2,0 m</t>
        </is>
      </c>
    </row>
    <row r="13">
      <c r="A13" t="inlineStr">
        <is>
          <t>PI superación de umbral</t>
        </is>
      </c>
      <c r="B13" t="inlineStr">
        <is>
          <t>Canal de acceso/ navegación</t>
        </is>
      </c>
      <c r="C13" t="inlineStr">
        <is>
          <t>Exceso de Viento</t>
        </is>
      </c>
      <c r="D13" t="inlineStr">
        <is>
          <t>Viento</t>
        </is>
      </c>
      <c r="E13" t="inlineStr">
        <is>
          <t>ELO</t>
        </is>
      </c>
      <c r="F13" t="inlineStr">
        <is>
          <t>P99</t>
        </is>
      </c>
      <c r="G13" t="inlineStr">
        <is>
          <t>Predefinido</t>
        </is>
      </c>
      <c r="H13">
        <f>IF(COUNTA(I13:Q13)&lt;3,"",COUNTA(I13:Q13)/3)</f>
        <v/>
      </c>
      <c r="I13" t="inlineStr">
        <is>
          <t>Viento</t>
        </is>
      </c>
      <c r="J13" t="inlineStr">
        <is>
          <t>Número de días con vientos extremos</t>
        </is>
      </c>
      <c r="K13" t="inlineStr">
        <is>
          <t>Número de días con vientos extremos</t>
        </is>
      </c>
    </row>
    <row r="14">
      <c r="A14" t="inlineStr">
        <is>
          <t>PI superación de umbral</t>
        </is>
      </c>
      <c r="B14" t="inlineStr">
        <is>
          <t>Canal de acceso/ navegación</t>
        </is>
      </c>
      <c r="C14" t="inlineStr">
        <is>
          <t>Exceso de Corriente</t>
        </is>
      </c>
      <c r="D14" t="inlineStr">
        <is>
          <t>Corriente</t>
        </is>
      </c>
      <c r="E14" t="inlineStr">
        <is>
          <t>ELO</t>
        </is>
      </c>
      <c r="F14" t="inlineStr">
        <is>
          <t>P99</t>
        </is>
      </c>
      <c r="G14" t="inlineStr">
        <is>
          <t>Predefinido</t>
        </is>
      </c>
      <c r="H14">
        <f>IF(COUNTA(I14:Q14)&lt;3,"",COUNTA(I14:Q14)/3)</f>
        <v/>
      </c>
      <c r="I14" t="inlineStr">
        <is>
          <t>Corriente</t>
        </is>
      </c>
      <c r="J14" t="inlineStr">
        <is>
          <t>Número medio de días al año con velocidad de corriente media diaria superior a 0.5 m/s</t>
        </is>
      </c>
      <c r="K14" t="inlineStr">
        <is>
          <t>Número medio de días al año con velocidad de corriente media diaria superior a 0.5 m/s</t>
        </is>
      </c>
    </row>
    <row r="15">
      <c r="A15" t="inlineStr">
        <is>
          <t>PI superación de umbral</t>
        </is>
      </c>
      <c r="B15" t="inlineStr">
        <is>
          <t>Canal de acceso/ navegación</t>
        </is>
      </c>
      <c r="C15" t="inlineStr">
        <is>
          <t>Visibilidad reducida</t>
        </is>
      </c>
      <c r="D15" t="inlineStr">
        <is>
          <t>Visibilidad</t>
        </is>
      </c>
      <c r="E15" t="inlineStr">
        <is>
          <t>ELO</t>
        </is>
      </c>
      <c r="F15" t="inlineStr">
        <is>
          <t>P99</t>
        </is>
      </c>
      <c r="G15" t="inlineStr">
        <is>
          <t>Predefinido</t>
        </is>
      </c>
      <c r="H15">
        <f>IF(COUNTA(I15:Q15)&lt;3,"",COUNTA(I15:Q15)/3)</f>
        <v/>
      </c>
      <c r="I15" t="inlineStr">
        <is>
          <t>Visibilidad</t>
        </is>
      </c>
      <c r="J15" t="inlineStr">
        <is>
          <t>Número medio de días al año con visibiliad inferior a 1 km</t>
        </is>
      </c>
      <c r="K15" t="inlineStr">
        <is>
          <t>Número medio de días al año con visibiliad inferior a 1 km</t>
        </is>
      </c>
    </row>
    <row r="16">
      <c r="A16" t="inlineStr">
        <is>
          <t>OPEX falta de calado</t>
        </is>
      </c>
      <c r="B16" t="inlineStr">
        <is>
          <t>Canal de acceso/ navegación</t>
        </is>
      </c>
      <c r="C16" t="inlineStr">
        <is>
          <t>Falta de Calado</t>
        </is>
      </c>
      <c r="D16" t="inlineStr">
        <is>
          <t>Nivel del mar</t>
        </is>
      </c>
      <c r="E16" t="inlineStr">
        <is>
          <t>ELS</t>
        </is>
      </c>
      <c r="F16" t="inlineStr">
        <is>
          <t>P99</t>
        </is>
      </c>
      <c r="G16" t="inlineStr">
        <is>
          <t>Predefinido</t>
        </is>
      </c>
      <c r="H16">
        <f>IF(COUNTA(I16:Q16)&lt;3,"",COUNTA(I16:Q16)/3)</f>
        <v/>
      </c>
      <c r="I16" t="inlineStr">
        <is>
          <t>Nivel del mar</t>
        </is>
      </c>
      <c r="J16" t="inlineStr">
        <is>
          <t>Ascenso relativo del nivel del mar</t>
        </is>
      </c>
      <c r="K16" t="inlineStr">
        <is>
          <t>Ascenso relativo del nivel del mar (m)</t>
        </is>
      </c>
      <c r="L16" t="inlineStr">
        <is>
          <t>Nivel del mar</t>
        </is>
      </c>
      <c r="M16" t="inlineStr">
        <is>
          <t>Calado objetivo de los poligonos de dragado</t>
        </is>
      </c>
      <c r="N16" t="inlineStr">
        <is>
          <t>Calado objetivo de los poligonos de dragado</t>
        </is>
      </c>
      <c r="O16" t="inlineStr">
        <is>
          <t>Nivel del mar</t>
        </is>
      </c>
      <c r="P16" t="inlineStr">
        <is>
          <t>Tasa de sedimentación anual (m/año)</t>
        </is>
      </c>
      <c r="Q16" t="inlineStr">
        <is>
          <t>Tasa de sedimentación anual (m/año)</t>
        </is>
      </c>
    </row>
    <row r="17">
      <c r="A17" t="inlineStr">
        <is>
          <t>CAPEX falta de calado</t>
        </is>
      </c>
      <c r="B17" t="inlineStr">
        <is>
          <t>Canal de acceso/ navegación</t>
        </is>
      </c>
      <c r="C17" t="inlineStr">
        <is>
          <t>Falta de Calado</t>
        </is>
      </c>
      <c r="D17" t="inlineStr">
        <is>
          <t>Nivel del mar</t>
        </is>
      </c>
      <c r="E17" t="inlineStr">
        <is>
          <t>ELU</t>
        </is>
      </c>
      <c r="F17" t="inlineStr">
        <is>
          <t>P99</t>
        </is>
      </c>
      <c r="G17" t="inlineStr">
        <is>
          <t>Predefinido</t>
        </is>
      </c>
      <c r="H17">
        <f>IF(COUNTA(I17:Q17)&lt;3,"",COUNTA(I17:Q17)/3)</f>
        <v/>
      </c>
      <c r="I17" t="inlineStr">
        <is>
          <t>Nivel del mar</t>
        </is>
      </c>
      <c r="J17" t="inlineStr">
        <is>
          <t>Ascenso relativo del nivel del mar</t>
        </is>
      </c>
      <c r="K17" t="inlineStr">
        <is>
          <t>Ascenso relativo del nivel del mar (m)</t>
        </is>
      </c>
      <c r="L17" t="inlineStr">
        <is>
          <t>Nivel del mar</t>
        </is>
      </c>
      <c r="M17" t="inlineStr">
        <is>
          <t>Calado objetivo de los poligonos de dragado</t>
        </is>
      </c>
      <c r="N17" t="inlineStr">
        <is>
          <t>Calado objetivo de los poligonos de dragado</t>
        </is>
      </c>
      <c r="O17" t="inlineStr">
        <is>
          <t>Nivel del mar</t>
        </is>
      </c>
      <c r="P17" t="inlineStr">
        <is>
          <t>Tasa de sedimentación anual (m/año)</t>
        </is>
      </c>
      <c r="Q17" t="inlineStr">
        <is>
          <t>Tasa de sedimentación anual (m/año)</t>
        </is>
      </c>
    </row>
    <row r="18">
      <c r="A18" t="inlineStr">
        <is>
          <t>PI superación de umbral</t>
        </is>
      </c>
      <c r="B18" t="inlineStr">
        <is>
          <t>Dársenas (zona de permanencia)</t>
        </is>
      </c>
      <c r="C18" t="inlineStr">
        <is>
          <t>Exceso de Oleaje</t>
        </is>
      </c>
      <c r="D18" t="inlineStr">
        <is>
          <t>Oleaje</t>
        </is>
      </c>
      <c r="E18" t="inlineStr">
        <is>
          <t>ELO</t>
        </is>
      </c>
      <c r="F18" t="inlineStr">
        <is>
          <t>P99</t>
        </is>
      </c>
      <c r="G18" t="inlineStr">
        <is>
          <t>Predefinido</t>
        </is>
      </c>
      <c r="H18">
        <f>IF(COUNTA(I18:Q18)&lt;3,"",COUNTA(I18:Q18)/3)</f>
        <v/>
      </c>
      <c r="I18" t="inlineStr">
        <is>
          <t>Oleaje</t>
        </is>
      </c>
      <c r="J18" t="inlineStr">
        <is>
          <t>Número de horas al año con condiciones desfavorables en la zona de navegación, definidas por una altura significativa de ola &gt; 2,0 m</t>
        </is>
      </c>
      <c r="K18" t="inlineStr">
        <is>
          <t>Número de horas al año con condiciones desfavorables en la zona de navegación, definidas por una altura significativa de ola &gt; 2,0 m</t>
        </is>
      </c>
    </row>
    <row r="19">
      <c r="A19" t="inlineStr">
        <is>
          <t>PI superación de umbral</t>
        </is>
      </c>
      <c r="B19" t="inlineStr">
        <is>
          <t>Dársenas (zona de permanencia)</t>
        </is>
      </c>
      <c r="C19" t="inlineStr">
        <is>
          <t>Exceso de Viento</t>
        </is>
      </c>
      <c r="D19" t="inlineStr">
        <is>
          <t>Viento</t>
        </is>
      </c>
      <c r="E19" t="inlineStr">
        <is>
          <t>ELO</t>
        </is>
      </c>
      <c r="F19" t="inlineStr">
        <is>
          <t>P99</t>
        </is>
      </c>
      <c r="G19" t="inlineStr">
        <is>
          <t>Predefinido</t>
        </is>
      </c>
      <c r="H19">
        <f>IF(COUNTA(I19:Q19)&lt;3,"",COUNTA(I19:Q19)/3)</f>
        <v/>
      </c>
      <c r="I19" t="inlineStr">
        <is>
          <t>Viento</t>
        </is>
      </c>
      <c r="J19" t="inlineStr">
        <is>
          <t>Número de días con vientos extremos</t>
        </is>
      </c>
      <c r="K19" t="inlineStr">
        <is>
          <t>Número de días con vientos extremos</t>
        </is>
      </c>
    </row>
    <row r="20">
      <c r="A20" t="inlineStr">
        <is>
          <t>PI superación de umbral</t>
        </is>
      </c>
      <c r="B20" t="inlineStr">
        <is>
          <t>Dársenas (zona de permanencia)</t>
        </is>
      </c>
      <c r="C20" t="inlineStr">
        <is>
          <t>Exceso de Corriente</t>
        </is>
      </c>
      <c r="D20" t="inlineStr">
        <is>
          <t>Corriente</t>
        </is>
      </c>
      <c r="E20" t="inlineStr">
        <is>
          <t>ELO</t>
        </is>
      </c>
      <c r="F20" t="inlineStr">
        <is>
          <t>P99</t>
        </is>
      </c>
      <c r="G20" t="inlineStr">
        <is>
          <t>Predefinido</t>
        </is>
      </c>
      <c r="H20">
        <f>IF(COUNTA(I20:Q20)&lt;3,"",COUNTA(I20:Q20)/3)</f>
        <v/>
      </c>
      <c r="I20" t="inlineStr">
        <is>
          <t>Corriente</t>
        </is>
      </c>
      <c r="J20" t="inlineStr">
        <is>
          <t>Número medio de días al año con velocidad de corriente media diaria superior a 0.5 m/s</t>
        </is>
      </c>
      <c r="K20" t="inlineStr">
        <is>
          <t>Número medio de días al año con velocidad de corriente media diaria superior a 0.5 m/s</t>
        </is>
      </c>
    </row>
    <row r="21">
      <c r="A21" t="inlineStr">
        <is>
          <t>PI superación de umbral</t>
        </is>
      </c>
      <c r="B21" t="inlineStr">
        <is>
          <t>Dársenas (zona de permanencia)</t>
        </is>
      </c>
      <c r="C21" t="inlineStr">
        <is>
          <t>Visibilidad reducida</t>
        </is>
      </c>
      <c r="D21" t="inlineStr">
        <is>
          <t>Visibilidad</t>
        </is>
      </c>
      <c r="E21" t="inlineStr">
        <is>
          <t>ELO</t>
        </is>
      </c>
      <c r="F21" t="inlineStr">
        <is>
          <t>P99</t>
        </is>
      </c>
      <c r="G21" t="inlineStr">
        <is>
          <t>Predefinido</t>
        </is>
      </c>
      <c r="H21">
        <f>IF(COUNTA(I21:Q21)&lt;3,"",COUNTA(I21:Q21)/3)</f>
        <v/>
      </c>
      <c r="I21" t="inlineStr">
        <is>
          <t>Visibilidad</t>
        </is>
      </c>
      <c r="J21" t="inlineStr">
        <is>
          <t>Número medio de días al año con visibiliad inferior a 1 km</t>
        </is>
      </c>
      <c r="K21" t="inlineStr">
        <is>
          <t>Número medio de días al año con visibiliad inferior a 1 km</t>
        </is>
      </c>
    </row>
    <row r="22">
      <c r="A22" t="inlineStr">
        <is>
          <t>OPEX falta de calado</t>
        </is>
      </c>
      <c r="B22" t="inlineStr">
        <is>
          <t>Dársenas (zona de permanencia)</t>
        </is>
      </c>
      <c r="C22" t="inlineStr">
        <is>
          <t>Falta de Calado</t>
        </is>
      </c>
      <c r="D22" t="inlineStr">
        <is>
          <t>Nivel del mar</t>
        </is>
      </c>
      <c r="E22" t="inlineStr">
        <is>
          <t>ELS</t>
        </is>
      </c>
      <c r="F22" t="inlineStr">
        <is>
          <t>P99</t>
        </is>
      </c>
      <c r="G22" t="inlineStr">
        <is>
          <t>Predefinido</t>
        </is>
      </c>
      <c r="H22">
        <f>IF(COUNTA(I22:Q22)&lt;3,"",COUNTA(I22:Q22)/3)</f>
        <v/>
      </c>
      <c r="I22" t="inlineStr">
        <is>
          <t>Nivel del mar</t>
        </is>
      </c>
      <c r="J22" t="inlineStr">
        <is>
          <t>Ascenso relativo del nivel del mar</t>
        </is>
      </c>
      <c r="K22" t="inlineStr">
        <is>
          <t>Ascenso relativo del nivel del mar (m)</t>
        </is>
      </c>
      <c r="L22" t="inlineStr">
        <is>
          <t>Nivel del mar</t>
        </is>
      </c>
      <c r="M22" t="inlineStr">
        <is>
          <t>Calado objetivo de los poligonos de dragado</t>
        </is>
      </c>
      <c r="N22" t="inlineStr">
        <is>
          <t>Calado objetivo de los poligonos de dragado</t>
        </is>
      </c>
      <c r="O22" t="inlineStr">
        <is>
          <t>Nivel del mar</t>
        </is>
      </c>
      <c r="P22" t="inlineStr">
        <is>
          <t>Tasa de sedimentación anual (m/año)</t>
        </is>
      </c>
      <c r="Q22" t="inlineStr">
        <is>
          <t>Tasa de sedimentación anual (m/año)</t>
        </is>
      </c>
    </row>
    <row r="23">
      <c r="A23" t="inlineStr">
        <is>
          <t>CAPEX falta de calado</t>
        </is>
      </c>
      <c r="B23" t="inlineStr">
        <is>
          <t>Dársenas (zona de permanencia)</t>
        </is>
      </c>
      <c r="C23" t="inlineStr">
        <is>
          <t>Falta de Calado</t>
        </is>
      </c>
      <c r="D23" t="inlineStr">
        <is>
          <t>Nivel del mar</t>
        </is>
      </c>
      <c r="E23" t="inlineStr">
        <is>
          <t>ELU</t>
        </is>
      </c>
      <c r="F23" t="inlineStr">
        <is>
          <t>P99</t>
        </is>
      </c>
      <c r="G23" t="inlineStr">
        <is>
          <t>Predefinido</t>
        </is>
      </c>
      <c r="H23">
        <f>IF(COUNTA(I23:Q23)&lt;3,"",COUNTA(I23:Q23)/3)</f>
        <v/>
      </c>
      <c r="I23" t="inlineStr">
        <is>
          <t>Nivel del mar</t>
        </is>
      </c>
      <c r="J23" t="inlineStr">
        <is>
          <t>Ascenso relativo del nivel del mar</t>
        </is>
      </c>
      <c r="K23" t="inlineStr">
        <is>
          <t>Ascenso relativo del nivel del mar (m)</t>
        </is>
      </c>
      <c r="L23" t="inlineStr">
        <is>
          <t>Nivel del mar</t>
        </is>
      </c>
      <c r="M23" t="inlineStr">
        <is>
          <t>Calado objetivo de los poligonos de dragado</t>
        </is>
      </c>
      <c r="N23" t="inlineStr">
        <is>
          <t>Calado objetivo de los poligonos de dragado</t>
        </is>
      </c>
      <c r="O23" t="inlineStr">
        <is>
          <t>Nivel del mar</t>
        </is>
      </c>
      <c r="P23" t="inlineStr">
        <is>
          <t>Tasa de sedimentación anual (m/año)</t>
        </is>
      </c>
      <c r="Q23" t="inlineStr">
        <is>
          <t>Tasa de sedimentación anual (m/año)</t>
        </is>
      </c>
    </row>
    <row r="24">
      <c r="A24" t="inlineStr">
        <is>
          <t>PI superación de umbral</t>
        </is>
      </c>
      <c r="B24" t="inlineStr">
        <is>
          <t>Dársenas (zona de maniobra y reviro)</t>
        </is>
      </c>
      <c r="C24" t="inlineStr">
        <is>
          <t>Exceso de Oleaje</t>
        </is>
      </c>
      <c r="D24" t="inlineStr">
        <is>
          <t>Oleaje</t>
        </is>
      </c>
      <c r="E24" t="inlineStr">
        <is>
          <t>ELO</t>
        </is>
      </c>
      <c r="F24" t="inlineStr">
        <is>
          <t>P99</t>
        </is>
      </c>
      <c r="G24" t="inlineStr">
        <is>
          <t>Predefinido</t>
        </is>
      </c>
      <c r="H24">
        <f>IF(COUNTA(I24:Q24)&lt;3,"",COUNTA(I24:Q24)/3)</f>
        <v/>
      </c>
      <c r="I24" t="inlineStr">
        <is>
          <t>Oleaje</t>
        </is>
      </c>
      <c r="J24" t="inlineStr">
        <is>
          <t>Número de horas al año con condiciones desfavorables en la zona de navegación, definidas por una altura significativa de ola &gt; 2,0 m</t>
        </is>
      </c>
      <c r="K24" t="inlineStr">
        <is>
          <t>Número de horas al año con condiciones desfavorables en la zona de navegación, definidas por una altura significativa de ola &gt; 2,0 m</t>
        </is>
      </c>
    </row>
    <row r="25">
      <c r="A25" t="inlineStr">
        <is>
          <t>PI superación de umbral</t>
        </is>
      </c>
      <c r="B25" t="inlineStr">
        <is>
          <t>Dársenas (zona de maniobra y reviro)</t>
        </is>
      </c>
      <c r="C25" t="inlineStr">
        <is>
          <t>Exceso de Viento</t>
        </is>
      </c>
      <c r="D25" t="inlineStr">
        <is>
          <t>Viento</t>
        </is>
      </c>
      <c r="E25" t="inlineStr">
        <is>
          <t>ELO</t>
        </is>
      </c>
      <c r="F25" t="inlineStr">
        <is>
          <t>P99</t>
        </is>
      </c>
      <c r="G25" t="inlineStr">
        <is>
          <t>Predefinido</t>
        </is>
      </c>
      <c r="H25">
        <f>IF(COUNTA(I25:Q25)&lt;3,"",COUNTA(I25:Q25)/3)</f>
        <v/>
      </c>
      <c r="I25" t="inlineStr">
        <is>
          <t>Viento</t>
        </is>
      </c>
      <c r="J25" t="inlineStr">
        <is>
          <t>Número de días con vientos extremos</t>
        </is>
      </c>
      <c r="K25" t="inlineStr">
        <is>
          <t>Número de días con vientos extremos</t>
        </is>
      </c>
    </row>
    <row r="26">
      <c r="A26" t="inlineStr">
        <is>
          <t>PI superación de umbral</t>
        </is>
      </c>
      <c r="B26" t="inlineStr">
        <is>
          <t>Dársenas (zona de maniobra y reviro)</t>
        </is>
      </c>
      <c r="C26" t="inlineStr">
        <is>
          <t>Exceso de Corriente</t>
        </is>
      </c>
      <c r="D26" t="inlineStr">
        <is>
          <t>Corriente</t>
        </is>
      </c>
      <c r="E26" t="inlineStr">
        <is>
          <t>ELO</t>
        </is>
      </c>
      <c r="F26" t="inlineStr">
        <is>
          <t>P99</t>
        </is>
      </c>
      <c r="G26" t="inlineStr">
        <is>
          <t>Predefinido</t>
        </is>
      </c>
      <c r="H26">
        <f>IF(COUNTA(I26:Q26)&lt;3,"",COUNTA(I26:Q26)/3)</f>
        <v/>
      </c>
      <c r="I26" t="inlineStr">
        <is>
          <t>Corriente</t>
        </is>
      </c>
      <c r="J26" t="inlineStr">
        <is>
          <t>Número medio de días al año con velocidad de corriente media diaria superior a 0.5 m/s</t>
        </is>
      </c>
      <c r="K26" t="inlineStr">
        <is>
          <t>Número medio de días al año con velocidad de corriente media diaria superior a 0.5 m/s</t>
        </is>
      </c>
    </row>
    <row r="27">
      <c r="A27" t="inlineStr">
        <is>
          <t>PI superación de umbral</t>
        </is>
      </c>
      <c r="B27" t="inlineStr">
        <is>
          <t>Dársenas (zona de maniobra y reviro)</t>
        </is>
      </c>
      <c r="C27" t="inlineStr">
        <is>
          <t>Visibilidad reducida</t>
        </is>
      </c>
      <c r="D27" t="inlineStr">
        <is>
          <t>Visibilidad</t>
        </is>
      </c>
      <c r="E27" t="inlineStr">
        <is>
          <t>ELO</t>
        </is>
      </c>
      <c r="F27" t="inlineStr">
        <is>
          <t>P99</t>
        </is>
      </c>
      <c r="G27" t="inlineStr">
        <is>
          <t>Predefinido</t>
        </is>
      </c>
      <c r="H27">
        <f>IF(COUNTA(I27:Q27)&lt;3,"",COUNTA(I27:Q27)/3)</f>
        <v/>
      </c>
      <c r="I27" t="inlineStr">
        <is>
          <t>Visibilidad</t>
        </is>
      </c>
      <c r="J27" t="inlineStr">
        <is>
          <t>Número medio de días al año con visibiliad inferior a 1 km</t>
        </is>
      </c>
      <c r="K27" t="inlineStr">
        <is>
          <t>Número medio de días al año con visibiliad inferior a 1 km</t>
        </is>
      </c>
    </row>
    <row r="28">
      <c r="A28" t="inlineStr">
        <is>
          <t>OPEX falta de calado</t>
        </is>
      </c>
      <c r="B28" t="inlineStr">
        <is>
          <t>Dársenas (zona de maniobra y reviro)</t>
        </is>
      </c>
      <c r="C28" t="inlineStr">
        <is>
          <t>Falta de Calado</t>
        </is>
      </c>
      <c r="D28" t="inlineStr">
        <is>
          <t>Nivel del mar</t>
        </is>
      </c>
      <c r="E28" t="inlineStr">
        <is>
          <t>ELS</t>
        </is>
      </c>
      <c r="F28" t="inlineStr">
        <is>
          <t>P99</t>
        </is>
      </c>
      <c r="G28" t="inlineStr">
        <is>
          <t>Predefinido</t>
        </is>
      </c>
      <c r="H28">
        <f>IF(COUNTA(I28:Q28)&lt;3,"",COUNTA(I28:Q28)/3)</f>
        <v/>
      </c>
      <c r="I28" t="inlineStr">
        <is>
          <t>Nivel del mar</t>
        </is>
      </c>
      <c r="J28" t="inlineStr">
        <is>
          <t>Ascenso relativo del nivel del mar</t>
        </is>
      </c>
      <c r="K28" t="inlineStr">
        <is>
          <t>Ascenso relativo del nivel del mar (m)</t>
        </is>
      </c>
      <c r="L28" t="inlineStr">
        <is>
          <t>Nivel del mar</t>
        </is>
      </c>
      <c r="M28" t="inlineStr">
        <is>
          <t>Calado objetivo de los poligonos de dragado</t>
        </is>
      </c>
      <c r="N28" t="inlineStr">
        <is>
          <t>Calado objetivo de los poligonos de dragado</t>
        </is>
      </c>
      <c r="O28" t="inlineStr">
        <is>
          <t>Nivel del mar</t>
        </is>
      </c>
      <c r="P28" t="inlineStr">
        <is>
          <t>Tasa de sedimentación anual (m/año)</t>
        </is>
      </c>
      <c r="Q28" t="inlineStr">
        <is>
          <t>Tasa de sedimentación anual (m/año)</t>
        </is>
      </c>
    </row>
    <row r="29">
      <c r="A29" t="inlineStr">
        <is>
          <t>CAPEX falta de calado</t>
        </is>
      </c>
      <c r="B29" t="inlineStr">
        <is>
          <t>Dársenas (zona de maniobra y reviro)</t>
        </is>
      </c>
      <c r="C29" t="inlineStr">
        <is>
          <t>Falta de Calado</t>
        </is>
      </c>
      <c r="D29" t="inlineStr">
        <is>
          <t>Nivel del mar</t>
        </is>
      </c>
      <c r="E29" t="inlineStr">
        <is>
          <t>ELU</t>
        </is>
      </c>
      <c r="F29" t="inlineStr">
        <is>
          <t>P99</t>
        </is>
      </c>
      <c r="G29" t="inlineStr">
        <is>
          <t>Predefinido</t>
        </is>
      </c>
      <c r="H29">
        <f>IF(COUNTA(I29:Q29)&lt;3,"",COUNTA(I29:Q29)/3)</f>
        <v/>
      </c>
      <c r="I29" t="inlineStr">
        <is>
          <t>Nivel del mar</t>
        </is>
      </c>
      <c r="J29" t="inlineStr">
        <is>
          <t>Ascenso relativo del nivel del mar</t>
        </is>
      </c>
      <c r="K29" t="inlineStr">
        <is>
          <t>Ascenso relativo del nivel del mar (m)</t>
        </is>
      </c>
      <c r="L29" t="inlineStr">
        <is>
          <t>Nivel del mar</t>
        </is>
      </c>
      <c r="M29" t="inlineStr">
        <is>
          <t>Calado objetivo de los poligonos de dragado</t>
        </is>
      </c>
      <c r="N29" t="inlineStr">
        <is>
          <t>Calado objetivo de los poligonos de dragado</t>
        </is>
      </c>
      <c r="O29" t="inlineStr">
        <is>
          <t>Nivel del mar</t>
        </is>
      </c>
      <c r="P29" t="inlineStr">
        <is>
          <t>Tasa de sedimentación anual (m/año)</t>
        </is>
      </c>
      <c r="Q29" t="inlineStr">
        <is>
          <t>Tasa de sedimentación anual (m/año)</t>
        </is>
      </c>
    </row>
    <row r="30">
      <c r="A30" t="inlineStr">
        <is>
          <t>PI superación de umbral</t>
        </is>
      </c>
      <c r="B30" t="inlineStr">
        <is>
          <t>Servicio de prácticos</t>
        </is>
      </c>
      <c r="C30" t="inlineStr">
        <is>
          <t>Exceso de Oleaje</t>
        </is>
      </c>
      <c r="D30" t="inlineStr">
        <is>
          <t>Oleaje</t>
        </is>
      </c>
      <c r="E30" t="inlineStr">
        <is>
          <t>ELO</t>
        </is>
      </c>
      <c r="F30" t="inlineStr">
        <is>
          <t>P99</t>
        </is>
      </c>
      <c r="G30" t="inlineStr">
        <is>
          <t>Predefinido</t>
        </is>
      </c>
      <c r="H30">
        <f>IF(COUNTA(I30:Q30)&lt;3,"",COUNTA(I30:Q30)/3)</f>
        <v/>
      </c>
      <c r="I30" t="inlineStr">
        <is>
          <t>Oleaje</t>
        </is>
      </c>
      <c r="J30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  <c r="K30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</row>
    <row r="31">
      <c r="A31" t="inlineStr">
        <is>
          <t>PI superación de umbral</t>
        </is>
      </c>
      <c r="B31" t="inlineStr">
        <is>
          <t>Servicio de prácticos</t>
        </is>
      </c>
      <c r="C31" t="inlineStr">
        <is>
          <t>Exceso de Viento</t>
        </is>
      </c>
      <c r="D31" t="inlineStr">
        <is>
          <t>Viento</t>
        </is>
      </c>
      <c r="E31" t="inlineStr">
        <is>
          <t>ELO</t>
        </is>
      </c>
      <c r="F31" t="inlineStr">
        <is>
          <t>P99</t>
        </is>
      </c>
      <c r="G31" t="inlineStr">
        <is>
          <t>Predefinido</t>
        </is>
      </c>
      <c r="H31">
        <f>IF(COUNTA(I31:Q31)&lt;3,"",COUNTA(I31:Q31)/3)</f>
        <v/>
      </c>
      <c r="I31" t="inlineStr">
        <is>
          <t>Viento</t>
        </is>
      </c>
      <c r="J31" t="inlineStr">
        <is>
          <t>Número de días con vientos extremos</t>
        </is>
      </c>
      <c r="K31" t="inlineStr">
        <is>
          <t>Número de días con vientos extremos</t>
        </is>
      </c>
    </row>
    <row r="32">
      <c r="A32" t="inlineStr">
        <is>
          <t>PI superación de umbral</t>
        </is>
      </c>
      <c r="B32" t="inlineStr">
        <is>
          <t>Servicio de prácticos</t>
        </is>
      </c>
      <c r="C32" t="inlineStr">
        <is>
          <t>Visibilidad reducida</t>
        </is>
      </c>
      <c r="D32" t="inlineStr">
        <is>
          <t>Visibilidad</t>
        </is>
      </c>
      <c r="E32" t="inlineStr">
        <is>
          <t>ELO</t>
        </is>
      </c>
      <c r="F32" t="inlineStr">
        <is>
          <t>P99</t>
        </is>
      </c>
      <c r="G32" t="inlineStr">
        <is>
          <t>Predefinido</t>
        </is>
      </c>
      <c r="H32">
        <f>IF(COUNTA(I32:Q32)&lt;3,"",COUNTA(I32:Q32)/3)</f>
        <v/>
      </c>
      <c r="I32" t="inlineStr">
        <is>
          <t>Visibilidad</t>
        </is>
      </c>
      <c r="J32" t="inlineStr">
        <is>
          <t>Número medio de días al año con visibiliad inferior a 1 km</t>
        </is>
      </c>
      <c r="K32" t="inlineStr">
        <is>
          <t>Número medio de días al año con visibiliad inferior a 1 km</t>
        </is>
      </c>
    </row>
    <row r="33">
      <c r="A33" t="inlineStr">
        <is>
          <t>PI superación de umbral</t>
        </is>
      </c>
      <c r="B33" t="inlineStr">
        <is>
          <t>Servicio de remolcadores</t>
        </is>
      </c>
      <c r="C33" t="inlineStr">
        <is>
          <t>Exceso de Oleaje</t>
        </is>
      </c>
      <c r="D33" t="inlineStr">
        <is>
          <t>Oleaje</t>
        </is>
      </c>
      <c r="E33" t="inlineStr">
        <is>
          <t>ELO</t>
        </is>
      </c>
      <c r="F33" t="inlineStr">
        <is>
          <t>P99</t>
        </is>
      </c>
      <c r="G33" t="inlineStr">
        <is>
          <t>Predefinido</t>
        </is>
      </c>
      <c r="H33">
        <f>IF(COUNTA(I33:Q33)&lt;3,"",COUNTA(I33:Q33)/3)</f>
        <v/>
      </c>
      <c r="I33" t="inlineStr">
        <is>
          <t>Oleaje</t>
        </is>
      </c>
      <c r="J33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  <c r="K33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</row>
    <row r="34">
      <c r="A34" t="inlineStr">
        <is>
          <t>PI superación de umbral</t>
        </is>
      </c>
      <c r="B34" t="inlineStr">
        <is>
          <t>Servicio de remolcadores</t>
        </is>
      </c>
      <c r="C34" t="inlineStr">
        <is>
          <t>Exceso de Viento</t>
        </is>
      </c>
      <c r="D34" t="inlineStr">
        <is>
          <t>Viento</t>
        </is>
      </c>
      <c r="E34" t="inlineStr">
        <is>
          <t>ELO</t>
        </is>
      </c>
      <c r="F34" t="inlineStr">
        <is>
          <t>P99</t>
        </is>
      </c>
      <c r="G34" t="inlineStr">
        <is>
          <t>Predefinido</t>
        </is>
      </c>
      <c r="H34">
        <f>IF(COUNTA(I34:Q34)&lt;3,"",COUNTA(I34:Q34)/3)</f>
        <v/>
      </c>
      <c r="I34" t="inlineStr">
        <is>
          <t>Viento</t>
        </is>
      </c>
      <c r="J34" t="inlineStr">
        <is>
          <t>Número de días con vientos extremos</t>
        </is>
      </c>
      <c r="K34" t="inlineStr">
        <is>
          <t>Número de días con vientos extremos</t>
        </is>
      </c>
    </row>
    <row r="35">
      <c r="A35" t="inlineStr">
        <is>
          <t>PI superación de umbral</t>
        </is>
      </c>
      <c r="B35" t="inlineStr">
        <is>
          <t>Servicio de remolcadores</t>
        </is>
      </c>
      <c r="C35" t="inlineStr">
        <is>
          <t>Visibilidad reducida</t>
        </is>
      </c>
      <c r="D35" t="inlineStr">
        <is>
          <t>Visibilidad</t>
        </is>
      </c>
      <c r="E35" t="inlineStr">
        <is>
          <t>ELO</t>
        </is>
      </c>
      <c r="F35" t="inlineStr">
        <is>
          <t>P99</t>
        </is>
      </c>
      <c r="G35" t="inlineStr">
        <is>
          <t>Predefinido</t>
        </is>
      </c>
      <c r="H35">
        <f>IF(COUNTA(I35:Q35)&lt;3,"",COUNTA(I35:Q35)/3)</f>
        <v/>
      </c>
      <c r="I35" t="inlineStr">
        <is>
          <t>Visibilidad</t>
        </is>
      </c>
      <c r="J35" t="inlineStr">
        <is>
          <t>Número medio de días al año con visibiliad inferior a 1 km</t>
        </is>
      </c>
      <c r="K35" t="inlineStr">
        <is>
          <t>Número medio de días al año con visibiliad inferior a 1 km</t>
        </is>
      </c>
    </row>
    <row r="36">
      <c r="A36" t="inlineStr">
        <is>
          <t>PI superación de umbral</t>
        </is>
      </c>
      <c r="B36" t="inlineStr">
        <is>
          <t>Operaciones a flote (bunkering...)</t>
        </is>
      </c>
      <c r="C36" t="inlineStr">
        <is>
          <t>Exceso de Oleaje</t>
        </is>
      </c>
      <c r="D36" t="inlineStr">
        <is>
          <t>Oleaje</t>
        </is>
      </c>
      <c r="E36" t="inlineStr">
        <is>
          <t>ELO</t>
        </is>
      </c>
      <c r="F36" t="inlineStr">
        <is>
          <t>P99</t>
        </is>
      </c>
      <c r="G36" t="inlineStr">
        <is>
          <t>Predefinido</t>
        </is>
      </c>
      <c r="H36">
        <f>IF(COUNTA(I36:Q36)&lt;3,"",COUNTA(I36:Q36)/3)</f>
        <v/>
      </c>
      <c r="I36" t="inlineStr">
        <is>
          <t>Oleaje</t>
        </is>
      </c>
      <c r="J36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  <c r="K36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</row>
    <row r="37">
      <c r="A37" t="inlineStr">
        <is>
          <t>PI superación de umbral</t>
        </is>
      </c>
      <c r="B37" t="inlineStr">
        <is>
          <t>Operaciones a flote (bunkering...)</t>
        </is>
      </c>
      <c r="C37" t="inlineStr">
        <is>
          <t>Exceso de Viento</t>
        </is>
      </c>
      <c r="D37" t="inlineStr">
        <is>
          <t>Viento</t>
        </is>
      </c>
      <c r="E37" t="inlineStr">
        <is>
          <t>ELO</t>
        </is>
      </c>
      <c r="F37" t="inlineStr">
        <is>
          <t>P99</t>
        </is>
      </c>
      <c r="G37" t="inlineStr">
        <is>
          <t>Predefinido</t>
        </is>
      </c>
      <c r="H37">
        <f>IF(COUNTA(I37:Q37)&lt;3,"",COUNTA(I37:Q37)/3)</f>
        <v/>
      </c>
      <c r="I37" t="inlineStr">
        <is>
          <t>Viento</t>
        </is>
      </c>
      <c r="J37" t="inlineStr">
        <is>
          <t>Número de días con vientos extremos</t>
        </is>
      </c>
      <c r="K37" t="inlineStr">
        <is>
          <t>Número de días con vientos extremos</t>
        </is>
      </c>
    </row>
    <row r="38">
      <c r="A38" t="inlineStr">
        <is>
          <t>PI falta de francobordo</t>
        </is>
      </c>
      <c r="B38" t="inlineStr">
        <is>
          <t xml:space="preserve">Muelle </t>
        </is>
      </c>
      <c r="C38" t="inlineStr">
        <is>
          <t>Falta de francobordo</t>
        </is>
      </c>
      <c r="D38" t="inlineStr">
        <is>
          <t>Nivel del mar</t>
        </is>
      </c>
      <c r="E38" t="inlineStr">
        <is>
          <t>ELO</t>
        </is>
      </c>
      <c r="F38" t="inlineStr">
        <is>
          <t>P99</t>
        </is>
      </c>
      <c r="G38" t="inlineStr">
        <is>
          <t>No pefinido</t>
        </is>
      </c>
      <c r="H38">
        <f>IF(COUNTA(I38:Q38)&lt;3,"",COUNTA(I38:Q38)/3)</f>
        <v/>
      </c>
      <c r="I38" t="inlineStr">
        <is>
          <t>Inundacion costera</t>
        </is>
      </c>
    </row>
    <row r="39">
      <c r="A39" t="inlineStr">
        <is>
          <t>PI falta de francobordo</t>
        </is>
      </c>
      <c r="B39" t="inlineStr">
        <is>
          <t>Pantalán</t>
        </is>
      </c>
      <c r="C39" t="inlineStr">
        <is>
          <t>Falta de francobordo</t>
        </is>
      </c>
      <c r="D39" t="inlineStr">
        <is>
          <t>Nivel del mar</t>
        </is>
      </c>
      <c r="E39" t="inlineStr">
        <is>
          <t>ELO</t>
        </is>
      </c>
      <c r="F39" t="inlineStr">
        <is>
          <t>P99</t>
        </is>
      </c>
      <c r="G39" t="inlineStr">
        <is>
          <t>No pefinido</t>
        </is>
      </c>
      <c r="H39">
        <f>IF(COUNTA(I39:Q39)&lt;3,"",COUNTA(I39:Q39)/3)</f>
        <v/>
      </c>
      <c r="I39" t="inlineStr">
        <is>
          <t>Inundacion costera</t>
        </is>
      </c>
    </row>
    <row r="40">
      <c r="A40" t="inlineStr">
        <is>
          <t>PI falta de francobordo</t>
        </is>
      </c>
      <c r="B40" t="inlineStr">
        <is>
          <t>Duque de alba</t>
        </is>
      </c>
      <c r="C40" t="inlineStr">
        <is>
          <t>Falta de francobordo</t>
        </is>
      </c>
      <c r="D40" t="inlineStr">
        <is>
          <t>Nivel del mar</t>
        </is>
      </c>
      <c r="E40" t="inlineStr">
        <is>
          <t>ELO</t>
        </is>
      </c>
      <c r="F40" t="inlineStr">
        <is>
          <t>P99</t>
        </is>
      </c>
      <c r="G40" t="inlineStr">
        <is>
          <t>No pefinido</t>
        </is>
      </c>
      <c r="H40">
        <f>IF(COUNTA(I40:Q40)&lt;3,"",COUNTA(I40:Q40)/3)</f>
        <v/>
      </c>
      <c r="I40" t="inlineStr">
        <is>
          <t>Inundacion costera</t>
        </is>
      </c>
    </row>
    <row r="41">
      <c r="A41" t="inlineStr">
        <is>
          <t>PI falta de francobordo</t>
        </is>
      </c>
      <c r="B41" t="inlineStr">
        <is>
          <t>Rampa Ro-Ro</t>
        </is>
      </c>
      <c r="C41" t="inlineStr">
        <is>
          <t>Falta de francobordo</t>
        </is>
      </c>
      <c r="D41" t="inlineStr">
        <is>
          <t>Nivel del mar</t>
        </is>
      </c>
      <c r="E41" t="inlineStr">
        <is>
          <t>ELO</t>
        </is>
      </c>
      <c r="F41" t="inlineStr">
        <is>
          <t>P99</t>
        </is>
      </c>
      <c r="G41" t="inlineStr">
        <is>
          <t>No pefinido</t>
        </is>
      </c>
      <c r="H41">
        <f>IF(COUNTA(I41:Q41)&lt;3,"",COUNTA(I41:Q41)/3)</f>
        <v/>
      </c>
      <c r="I41" t="inlineStr">
        <is>
          <t>Inundacion costera</t>
        </is>
      </c>
    </row>
    <row r="42">
      <c r="A42" t="inlineStr">
        <is>
          <t>PI superación de umbral</t>
        </is>
      </c>
      <c r="B42" t="inlineStr">
        <is>
          <t>Superficies</t>
        </is>
      </c>
      <c r="C42" t="inlineStr">
        <is>
          <t>Inundación costera</t>
        </is>
      </c>
      <c r="D42" t="inlineStr">
        <is>
          <t>Inundación costera</t>
        </is>
      </c>
      <c r="E42" t="inlineStr">
        <is>
          <t>ELO</t>
        </is>
      </c>
      <c r="F42" t="inlineStr">
        <is>
          <t>P99</t>
        </is>
      </c>
      <c r="G42" t="inlineStr">
        <is>
          <t>No pefinido</t>
        </is>
      </c>
      <c r="H42">
        <f>IF(COUNTA(I42:Q42)&lt;3,"",COUNTA(I42:Q42)/3)</f>
        <v/>
      </c>
      <c r="I42" t="inlineStr">
        <is>
          <t>Inundacion costera</t>
        </is>
      </c>
    </row>
    <row r="43">
      <c r="A43" t="inlineStr">
        <is>
          <t>PI superación de umbral</t>
        </is>
      </c>
      <c r="B43" t="inlineStr">
        <is>
          <t>Pavimentos</t>
        </is>
      </c>
      <c r="C43" t="inlineStr">
        <is>
          <t>Inundación costera</t>
        </is>
      </c>
      <c r="D43" t="inlineStr">
        <is>
          <t>Inundación costera</t>
        </is>
      </c>
      <c r="E43" t="inlineStr">
        <is>
          <t>ELO</t>
        </is>
      </c>
      <c r="F43" t="inlineStr">
        <is>
          <t>P99</t>
        </is>
      </c>
      <c r="G43" t="inlineStr">
        <is>
          <t>No pefinido</t>
        </is>
      </c>
      <c r="H43">
        <f>IF(COUNTA(I43:Q43)&lt;3,"",COUNTA(I43:Q43)/3)</f>
        <v/>
      </c>
      <c r="I43" t="inlineStr">
        <is>
          <t>Inundacion costera</t>
        </is>
      </c>
    </row>
    <row r="44">
      <c r="A44" t="inlineStr">
        <is>
          <t>PI superación de umbral</t>
        </is>
      </c>
      <c r="B44" t="inlineStr">
        <is>
          <t>Electricidad</t>
        </is>
      </c>
      <c r="C44" t="inlineStr">
        <is>
          <t>Inundación</t>
        </is>
      </c>
      <c r="D44" t="inlineStr">
        <is>
          <t>Inundación costera</t>
        </is>
      </c>
      <c r="E44" t="inlineStr">
        <is>
          <t>ELO</t>
        </is>
      </c>
      <c r="F44" t="inlineStr">
        <is>
          <t>P99</t>
        </is>
      </c>
      <c r="G44" t="inlineStr">
        <is>
          <t>No pefinido</t>
        </is>
      </c>
      <c r="H44">
        <f>IF(COUNTA(I44:Q44)&lt;3,"",COUNTA(I44:Q44)/3)</f>
        <v/>
      </c>
      <c r="I44" t="inlineStr">
        <is>
          <t>Inundacion costera</t>
        </is>
      </c>
    </row>
    <row r="45">
      <c r="A45" t="inlineStr">
        <is>
          <t>PI superación de umbral</t>
        </is>
      </c>
      <c r="B45" t="inlineStr">
        <is>
          <t>Alumbrado</t>
        </is>
      </c>
      <c r="C45" t="inlineStr">
        <is>
          <t>Inundación costera</t>
        </is>
      </c>
      <c r="D45" t="inlineStr">
        <is>
          <t>Inundación costera</t>
        </is>
      </c>
      <c r="E45" t="inlineStr">
        <is>
          <t>ELO</t>
        </is>
      </c>
      <c r="F45" t="inlineStr">
        <is>
          <t>P99</t>
        </is>
      </c>
      <c r="G45" t="inlineStr">
        <is>
          <t>No pefinido</t>
        </is>
      </c>
      <c r="H45">
        <f>IF(COUNTA(I45:Q45)&lt;3,"",COUNTA(I45:Q45)/3)</f>
        <v/>
      </c>
      <c r="I45" t="inlineStr">
        <is>
          <t>Inundacion costera</t>
        </is>
      </c>
    </row>
    <row r="46">
      <c r="A46" t="inlineStr">
        <is>
          <t>PI superación de umbral</t>
        </is>
      </c>
      <c r="B46" t="inlineStr">
        <is>
          <t>Suministro de agua</t>
        </is>
      </c>
      <c r="C46" t="inlineStr">
        <is>
          <t>Inundación</t>
        </is>
      </c>
      <c r="D46" t="inlineStr">
        <is>
          <t>Inundación costera</t>
        </is>
      </c>
      <c r="E46" t="inlineStr">
        <is>
          <t>ELO</t>
        </is>
      </c>
      <c r="F46" t="inlineStr">
        <is>
          <t>P99</t>
        </is>
      </c>
      <c r="G46" t="inlineStr">
        <is>
          <t>No pefinido</t>
        </is>
      </c>
      <c r="H46">
        <f>IF(COUNTA(I46:Q46)&lt;3,"",COUNTA(I46:Q46)/3)</f>
        <v/>
      </c>
      <c r="I46" t="inlineStr">
        <is>
          <t>Inundacion costera</t>
        </is>
      </c>
    </row>
    <row r="47">
      <c r="A47" t="inlineStr">
        <is>
          <t>PI superación de umbral</t>
        </is>
      </c>
      <c r="B47" t="inlineStr">
        <is>
          <t>Drenaje (pluvial)</t>
        </is>
      </c>
      <c r="C47" t="inlineStr">
        <is>
          <t>Inundación</t>
        </is>
      </c>
      <c r="D47" t="inlineStr">
        <is>
          <t>Inundación pluvial</t>
        </is>
      </c>
      <c r="E47" t="inlineStr">
        <is>
          <t>ELO</t>
        </is>
      </c>
      <c r="F47" t="inlineStr">
        <is>
          <t>P99</t>
        </is>
      </c>
      <c r="G47" t="inlineStr">
        <is>
          <t>No pefinido</t>
        </is>
      </c>
      <c r="H47">
        <f>IF(COUNTA(I47:Q47)&lt;3,"",COUNTA(I47:Q47)/3)</f>
        <v/>
      </c>
      <c r="I47" t="inlineStr">
        <is>
          <t>Inundacion costera</t>
        </is>
      </c>
    </row>
    <row r="48">
      <c r="A48" t="inlineStr">
        <is>
          <t>PI superación de umbral</t>
        </is>
      </c>
      <c r="B48" t="inlineStr">
        <is>
          <t>Telecomunicaciones y datos</t>
        </is>
      </c>
      <c r="C48" t="inlineStr">
        <is>
          <t>Inundación</t>
        </is>
      </c>
      <c r="D48" t="inlineStr">
        <is>
          <t>Inundación costera</t>
        </is>
      </c>
      <c r="E48" t="inlineStr">
        <is>
          <t>ELO</t>
        </is>
      </c>
      <c r="F48" t="inlineStr">
        <is>
          <t>P99</t>
        </is>
      </c>
      <c r="G48" t="inlineStr">
        <is>
          <t>No pefinido</t>
        </is>
      </c>
      <c r="H48">
        <f>IF(COUNTA(I48:Q48)&lt;3,"",COUNTA(I48:Q48)/3)</f>
        <v/>
      </c>
      <c r="I48" t="inlineStr">
        <is>
          <t>Inundacion costera</t>
        </is>
      </c>
    </row>
    <row r="49">
      <c r="A49" t="inlineStr">
        <is>
          <t>PI superación de umbral</t>
        </is>
      </c>
      <c r="B49" t="inlineStr">
        <is>
          <t>Accesos ferroviarios y terminales ferroportuarias</t>
        </is>
      </c>
      <c r="C49" t="inlineStr">
        <is>
          <t>Inundación costera</t>
        </is>
      </c>
      <c r="D49" t="inlineStr">
        <is>
          <t>Inundación costera</t>
        </is>
      </c>
      <c r="E49" t="inlineStr">
        <is>
          <t>ELO</t>
        </is>
      </c>
      <c r="F49" t="inlineStr">
        <is>
          <t>P99</t>
        </is>
      </c>
      <c r="G49" t="inlineStr">
        <is>
          <t>No pefinido</t>
        </is>
      </c>
      <c r="H49">
        <f>IF(COUNTA(I49:Q49)&lt;3,"",COUNTA(I49:Q49)/3)</f>
        <v/>
      </c>
      <c r="I49" t="inlineStr">
        <is>
          <t>Inundacion costera</t>
        </is>
      </c>
    </row>
    <row r="50">
      <c r="A50" t="inlineStr">
        <is>
          <t>PI superación de umbral</t>
        </is>
      </c>
      <c r="B50" t="inlineStr">
        <is>
          <t>Accesos viarios</t>
        </is>
      </c>
      <c r="C50" t="inlineStr">
        <is>
          <t>Inundación costera</t>
        </is>
      </c>
      <c r="D50" t="inlineStr">
        <is>
          <t>Inundación costera</t>
        </is>
      </c>
      <c r="E50" t="inlineStr">
        <is>
          <t>ELO</t>
        </is>
      </c>
      <c r="F50" t="inlineStr">
        <is>
          <t>P99</t>
        </is>
      </c>
      <c r="G50" t="inlineStr">
        <is>
          <t>No pefinido</t>
        </is>
      </c>
      <c r="H50">
        <f>IF(COUNTA(I50:Q50)&lt;3,"",COUNTA(I50:Q50)/3)</f>
        <v/>
      </c>
      <c r="I50" t="inlineStr">
        <is>
          <t>Inundacion costera</t>
        </is>
      </c>
    </row>
    <row r="51">
      <c r="A51" t="inlineStr">
        <is>
          <t>PI superación de umbral</t>
        </is>
      </c>
      <c r="B51" t="inlineStr">
        <is>
          <t>Edificios de servicios generales (Oficinas, Aduanas, PIF, Control de accesos, etc.)</t>
        </is>
      </c>
      <c r="C51" t="inlineStr">
        <is>
          <t>Exceso de Viento</t>
        </is>
      </c>
      <c r="D51" t="inlineStr">
        <is>
          <t>Viento</t>
        </is>
      </c>
      <c r="E51" t="inlineStr">
        <is>
          <t>ELO</t>
        </is>
      </c>
      <c r="F51" t="inlineStr">
        <is>
          <t>P99</t>
        </is>
      </c>
      <c r="G51" t="inlineStr">
        <is>
          <t>Predefinido</t>
        </is>
      </c>
      <c r="H51">
        <f>IF(COUNTA(I51:Q51)&lt;3,"",COUNTA(I51:Q51)/3)</f>
        <v/>
      </c>
      <c r="I51" t="inlineStr">
        <is>
          <t>Viento</t>
        </is>
      </c>
      <c r="J51" t="inlineStr">
        <is>
          <t>Número de días con vientos extremos</t>
        </is>
      </c>
      <c r="K51" t="inlineStr">
        <is>
          <t>Número de días con vientos extremos</t>
        </is>
      </c>
    </row>
    <row r="52">
      <c r="A52" t="inlineStr">
        <is>
          <t>PI superación de umbral</t>
        </is>
      </c>
      <c r="B52" t="inlineStr">
        <is>
          <t>Manipulación de mercancía</t>
        </is>
      </c>
      <c r="C52" t="inlineStr">
        <is>
          <t>Exceso de Viento</t>
        </is>
      </c>
      <c r="D52" t="inlineStr">
        <is>
          <t>Viento</t>
        </is>
      </c>
      <c r="E52" t="inlineStr">
        <is>
          <t>ELO</t>
        </is>
      </c>
      <c r="F52" t="inlineStr">
        <is>
          <t>P99</t>
        </is>
      </c>
      <c r="G52" t="inlineStr">
        <is>
          <t>Predefinido</t>
        </is>
      </c>
      <c r="H52">
        <f>IF(COUNTA(I52:Q52)&lt;3,"",COUNTA(I52:Q52)/3)</f>
        <v/>
      </c>
      <c r="I52" t="inlineStr">
        <is>
          <t>Viento</t>
        </is>
      </c>
      <c r="J52" t="inlineStr">
        <is>
          <t>Número de días con vientos extremos</t>
        </is>
      </c>
      <c r="K52" t="inlineStr">
        <is>
          <t>Número de días con vientos extremos</t>
        </is>
      </c>
    </row>
    <row r="53">
      <c r="A53" t="inlineStr">
        <is>
          <t>PI superación de umbral</t>
        </is>
      </c>
      <c r="B53" t="inlineStr">
        <is>
          <t>Zonas de Actividad Logística</t>
        </is>
      </c>
      <c r="C53" t="inlineStr">
        <is>
          <t>Exceso de Viento</t>
        </is>
      </c>
      <c r="D53" t="inlineStr">
        <is>
          <t>Viento</t>
        </is>
      </c>
      <c r="E53" t="inlineStr">
        <is>
          <t>ELO</t>
        </is>
      </c>
      <c r="F53" t="inlineStr">
        <is>
          <t>P99</t>
        </is>
      </c>
      <c r="G53" t="inlineStr">
        <is>
          <t>Predefinido</t>
        </is>
      </c>
      <c r="H53">
        <f>IF(COUNTA(I53:Q53)&lt;3,"",COUNTA(I53:Q53)/3)</f>
        <v/>
      </c>
      <c r="I53" t="inlineStr">
        <is>
          <t>Viento</t>
        </is>
      </c>
      <c r="J53" t="inlineStr">
        <is>
          <t>Número de días con vientos extremos</t>
        </is>
      </c>
      <c r="K53" t="inlineStr">
        <is>
          <t>Número de días con vientos extremos</t>
        </is>
      </c>
    </row>
    <row r="54">
      <c r="A54" t="inlineStr">
        <is>
          <t>PI superación de umbral</t>
        </is>
      </c>
      <c r="B54" t="inlineStr">
        <is>
          <t>Astilleros, diques secos, varaderos</t>
        </is>
      </c>
      <c r="C54" t="inlineStr">
        <is>
          <t>Inundación</t>
        </is>
      </c>
      <c r="D54" t="inlineStr">
        <is>
          <t>Inundación costera</t>
        </is>
      </c>
      <c r="E54" t="inlineStr">
        <is>
          <t>ELO</t>
        </is>
      </c>
      <c r="F54" t="inlineStr">
        <is>
          <t>P99</t>
        </is>
      </c>
      <c r="G54" t="inlineStr">
        <is>
          <t>No pefinido</t>
        </is>
      </c>
      <c r="H54">
        <f>IF(COUNTA(I54:Q54)&lt;3,"",COUNTA(I54:Q54)/3)</f>
        <v/>
      </c>
      <c r="I54" t="inlineStr">
        <is>
          <t>Inundacion costera</t>
        </is>
      </c>
    </row>
    <row r="55">
      <c r="A55" t="inlineStr">
        <is>
          <t>PI superación de umbral</t>
        </is>
      </c>
      <c r="B55" t="inlineStr">
        <is>
          <t>Tanques de almacenamiento</t>
        </is>
      </c>
      <c r="C55" t="inlineStr">
        <is>
          <t>Inundación</t>
        </is>
      </c>
      <c r="D55" t="inlineStr">
        <is>
          <t>Inundación costera</t>
        </is>
      </c>
      <c r="E55" t="inlineStr">
        <is>
          <t>ELO</t>
        </is>
      </c>
      <c r="F55" t="inlineStr">
        <is>
          <t>P99</t>
        </is>
      </c>
      <c r="G55" t="inlineStr">
        <is>
          <t>No pefinido</t>
        </is>
      </c>
      <c r="H55">
        <f>IF(COUNTA(I55:Q55)&lt;3,"",COUNTA(I55:Q55)/3)</f>
        <v/>
      </c>
      <c r="I55" t="inlineStr">
        <is>
          <t>Inundacion costera</t>
        </is>
      </c>
    </row>
    <row r="56">
      <c r="A56" t="inlineStr">
        <is>
          <t>PI superación de umbral</t>
        </is>
      </c>
      <c r="B56" t="inlineStr">
        <is>
          <t>Depósito /Almacenamiento</t>
        </is>
      </c>
      <c r="C56" t="inlineStr">
        <is>
          <t>Inundación</t>
        </is>
      </c>
      <c r="D56" t="inlineStr">
        <is>
          <t>Inundación costera</t>
        </is>
      </c>
      <c r="E56" t="inlineStr">
        <is>
          <t>ELO</t>
        </is>
      </c>
      <c r="F56" t="inlineStr">
        <is>
          <t>P99</t>
        </is>
      </c>
      <c r="G56" t="inlineStr">
        <is>
          <t>No pefinido</t>
        </is>
      </c>
      <c r="H56">
        <f>IF(COUNTA(I56:Q56)&lt;3,"",COUNTA(I56:Q56)/3)</f>
        <v/>
      </c>
      <c r="I56" t="inlineStr">
        <is>
          <t>Inundacion costera</t>
        </is>
      </c>
    </row>
    <row r="57">
      <c r="A57" t="inlineStr">
        <is>
          <t>PI superación de umbral</t>
        </is>
      </c>
      <c r="B57" t="inlineStr">
        <is>
          <t>Grúas de muelle</t>
        </is>
      </c>
      <c r="C57" t="inlineStr">
        <is>
          <t>Inundación</t>
        </is>
      </c>
      <c r="D57" t="inlineStr">
        <is>
          <t>Inundación costera</t>
        </is>
      </c>
      <c r="E57" t="inlineStr">
        <is>
          <t>ELO</t>
        </is>
      </c>
      <c r="F57" t="inlineStr">
        <is>
          <t>P99</t>
        </is>
      </c>
      <c r="G57" t="inlineStr">
        <is>
          <t>No pefinido</t>
        </is>
      </c>
      <c r="H57">
        <f>IF(COUNTA(I57:Q57)&lt;3,"",COUNTA(I57:Q57)/3)</f>
        <v/>
      </c>
      <c r="I57" t="inlineStr">
        <is>
          <t>Inundacion costera</t>
        </is>
      </c>
    </row>
    <row r="58">
      <c r="A58" t="inlineStr">
        <is>
          <t>PI superación de umbral</t>
        </is>
      </c>
      <c r="B58" t="inlineStr">
        <is>
          <t>Maquinaria de patio</t>
        </is>
      </c>
      <c r="C58" t="inlineStr">
        <is>
          <t>Inundación</t>
        </is>
      </c>
      <c r="D58" t="inlineStr">
        <is>
          <t>Inundación costera</t>
        </is>
      </c>
      <c r="E58" t="inlineStr">
        <is>
          <t>ELO</t>
        </is>
      </c>
      <c r="F58" t="inlineStr">
        <is>
          <t>P99</t>
        </is>
      </c>
      <c r="G58" t="inlineStr">
        <is>
          <t>No pefinido</t>
        </is>
      </c>
      <c r="H58">
        <f>IF(COUNTA(I58:Q58)&lt;3,"",COUNTA(I58:Q58)/3)</f>
        <v/>
      </c>
      <c r="I58" t="inlineStr">
        <is>
          <t>Inundacion costera</t>
        </is>
      </c>
    </row>
    <row r="59">
      <c r="A59" t="inlineStr">
        <is>
          <t>PI superación de umbral</t>
        </is>
      </c>
      <c r="B59" t="inlineStr">
        <is>
          <t>Transporte de semiremolques</t>
        </is>
      </c>
      <c r="C59" t="inlineStr">
        <is>
          <t>Inundación</t>
        </is>
      </c>
      <c r="D59" t="inlineStr">
        <is>
          <t>Inundación costera</t>
        </is>
      </c>
      <c r="E59" t="inlineStr">
        <is>
          <t>ELO</t>
        </is>
      </c>
      <c r="F59" t="inlineStr">
        <is>
          <t>P99</t>
        </is>
      </c>
      <c r="G59" t="inlineStr">
        <is>
          <t>No pefinido</t>
        </is>
      </c>
      <c r="H59">
        <f>IF(COUNTA(I59:Q59)&lt;3,"",COUNTA(I59:Q59)/3)</f>
        <v/>
      </c>
      <c r="I59" t="inlineStr">
        <is>
          <t>Inundacion costera</t>
        </is>
      </c>
    </row>
    <row r="60">
      <c r="A60" t="inlineStr">
        <is>
          <t>PI superación de umbral</t>
        </is>
      </c>
      <c r="B60" t="inlineStr">
        <is>
          <t>Almacenamiento</t>
        </is>
      </c>
      <c r="C60" t="inlineStr">
        <is>
          <t>Inundación</t>
        </is>
      </c>
      <c r="D60" t="inlineStr">
        <is>
          <t>Inundación costera</t>
        </is>
      </c>
      <c r="E60" t="inlineStr">
        <is>
          <t>ELO</t>
        </is>
      </c>
      <c r="F60" t="inlineStr">
        <is>
          <t>P99</t>
        </is>
      </c>
      <c r="G60" t="inlineStr">
        <is>
          <t>No pefinido</t>
        </is>
      </c>
      <c r="H60">
        <f>IF(COUNTA(I60:Q60)&lt;3,"",COUNTA(I60:Q60)/3)</f>
        <v/>
      </c>
      <c r="I60" t="inlineStr">
        <is>
          <t>Inundacion costera</t>
        </is>
      </c>
    </row>
    <row r="61">
      <c r="A61" t="inlineStr">
        <is>
          <t>PI superación de umbral</t>
        </is>
      </c>
      <c r="B61" t="inlineStr">
        <is>
          <t>Grúa de muelle</t>
        </is>
      </c>
      <c r="C61" t="inlineStr">
        <is>
          <t>Inundación</t>
        </is>
      </c>
      <c r="D61" t="inlineStr">
        <is>
          <t>Inundación costera</t>
        </is>
      </c>
      <c r="E61" t="inlineStr">
        <is>
          <t>ELO</t>
        </is>
      </c>
      <c r="F61" t="inlineStr">
        <is>
          <t>P99</t>
        </is>
      </c>
      <c r="G61" t="inlineStr">
        <is>
          <t>No pefinido</t>
        </is>
      </c>
      <c r="H61">
        <f>IF(COUNTA(I61:Q61)&lt;3,"",COUNTA(I61:Q61)/3)</f>
        <v/>
      </c>
      <c r="I61" t="inlineStr">
        <is>
          <t>Inundacion costera</t>
        </is>
      </c>
    </row>
    <row r="62">
      <c r="A62" t="inlineStr">
        <is>
          <t>PI superación de umbral</t>
        </is>
      </c>
      <c r="B62" t="inlineStr">
        <is>
          <t>Campa y aparcamiento</t>
        </is>
      </c>
      <c r="C62" t="inlineStr">
        <is>
          <t>Inundación</t>
        </is>
      </c>
      <c r="D62" t="inlineStr">
        <is>
          <t>Inundación costera</t>
        </is>
      </c>
      <c r="E62" t="inlineStr">
        <is>
          <t>ELO</t>
        </is>
      </c>
      <c r="F62" t="inlineStr">
        <is>
          <t>P99</t>
        </is>
      </c>
      <c r="G62" t="inlineStr">
        <is>
          <t>No pefinido</t>
        </is>
      </c>
      <c r="H62">
        <f>IF(COUNTA(I62:Q62)&lt;3,"",COUNTA(I62:Q62)/3)</f>
        <v/>
      </c>
      <c r="I62" t="inlineStr">
        <is>
          <t>Inundacion costera</t>
        </is>
      </c>
    </row>
    <row r="63">
      <c r="A63" t="inlineStr">
        <is>
          <t>PI superación de umbral</t>
        </is>
      </c>
      <c r="B63" t="inlineStr">
        <is>
          <t>Estación marítima</t>
        </is>
      </c>
      <c r="C63" t="inlineStr">
        <is>
          <t>Inundación</t>
        </is>
      </c>
      <c r="D63" t="inlineStr">
        <is>
          <t>Inundación costera</t>
        </is>
      </c>
      <c r="E63" t="inlineStr">
        <is>
          <t>ELO</t>
        </is>
      </c>
      <c r="F63" t="inlineStr">
        <is>
          <t>P99</t>
        </is>
      </c>
      <c r="G63" t="inlineStr">
        <is>
          <t>No pefinido</t>
        </is>
      </c>
      <c r="H63">
        <f>IF(COUNTA(I63:Q63)&lt;3,"",COUNTA(I63:Q63)/3)</f>
        <v/>
      </c>
      <c r="I63" t="inlineStr">
        <is>
          <t>Inundacion costera</t>
        </is>
      </c>
    </row>
    <row r="64">
      <c r="A64" t="inlineStr">
        <is>
          <t>PI superación de umbral</t>
        </is>
      </c>
      <c r="B64" t="inlineStr">
        <is>
          <t>Suministros al pesquero (agua, combustible y hielo)</t>
        </is>
      </c>
      <c r="C64" t="inlineStr">
        <is>
          <t>Inundación</t>
        </is>
      </c>
      <c r="D64" t="inlineStr">
        <is>
          <t>Inundación costera</t>
        </is>
      </c>
      <c r="E64" t="inlineStr">
        <is>
          <t>ELO</t>
        </is>
      </c>
      <c r="F64" t="inlineStr">
        <is>
          <t>P99</t>
        </is>
      </c>
      <c r="G64" t="inlineStr">
        <is>
          <t>No pefinido</t>
        </is>
      </c>
      <c r="H64">
        <f>IF(COUNTA(I64:Q64)&lt;3,"",COUNTA(I64:Q64)/3)</f>
        <v/>
      </c>
      <c r="I64" t="inlineStr">
        <is>
          <t>Inundacion costera</t>
        </is>
      </c>
    </row>
    <row r="65">
      <c r="A65" t="inlineStr">
        <is>
          <t>PI superación de umbral</t>
        </is>
      </c>
      <c r="B65" t="inlineStr">
        <is>
          <t>Lonja</t>
        </is>
      </c>
      <c r="C65" t="inlineStr">
        <is>
          <t>Inundación</t>
        </is>
      </c>
      <c r="D65" t="inlineStr">
        <is>
          <t>Inundación costera</t>
        </is>
      </c>
      <c r="E65" t="inlineStr">
        <is>
          <t>ELO</t>
        </is>
      </c>
      <c r="F65" t="inlineStr">
        <is>
          <t>P99</t>
        </is>
      </c>
      <c r="G65" t="inlineStr">
        <is>
          <t>No pefinido</t>
        </is>
      </c>
      <c r="H65">
        <f>IF(COUNTA(I65:Q65)&lt;3,"",COUNTA(I65:Q65)/3)</f>
        <v/>
      </c>
      <c r="I65" t="inlineStr">
        <is>
          <t>Inundacion costera</t>
        </is>
      </c>
    </row>
    <row r="66">
      <c r="A66" t="inlineStr">
        <is>
          <t>PI superación de umbral</t>
        </is>
      </c>
      <c r="B66" t="inlineStr">
        <is>
          <t>Servicio de marinas y puertos deportivos</t>
        </is>
      </c>
      <c r="C66" t="inlineStr">
        <is>
          <t>Inundación</t>
        </is>
      </c>
      <c r="D66" t="inlineStr">
        <is>
          <t>Inundación costera</t>
        </is>
      </c>
      <c r="E66" t="inlineStr">
        <is>
          <t>ELO</t>
        </is>
      </c>
      <c r="F66" t="inlineStr">
        <is>
          <t>P99</t>
        </is>
      </c>
      <c r="G66" t="inlineStr">
        <is>
          <t>No pefinido</t>
        </is>
      </c>
      <c r="H66">
        <f>IF(COUNTA(I66:Q66)&lt;3,"",COUNTA(I66:Q66)/3)</f>
        <v/>
      </c>
      <c r="I66" t="inlineStr">
        <is>
          <t>Inundacion costera</t>
        </is>
      </c>
    </row>
    <row r="67">
      <c r="A67" t="inlineStr">
        <is>
          <t>PI superación de umbral</t>
        </is>
      </c>
      <c r="B67" t="inlineStr">
        <is>
          <t>Equipamientos culturales o deportivos</t>
        </is>
      </c>
      <c r="C67" t="inlineStr">
        <is>
          <t>Inundación</t>
        </is>
      </c>
      <c r="D67" t="inlineStr">
        <is>
          <t>Inundación costera</t>
        </is>
      </c>
      <c r="E67" t="inlineStr">
        <is>
          <t>ELO</t>
        </is>
      </c>
      <c r="F67" t="inlineStr">
        <is>
          <t>P99</t>
        </is>
      </c>
      <c r="G67" t="inlineStr">
        <is>
          <t>No pefinido</t>
        </is>
      </c>
      <c r="H67">
        <f>IF(COUNTA(I67:Q67)&lt;3,"",COUNTA(I67:Q67)/3)</f>
        <v/>
      </c>
      <c r="I67" t="inlineStr">
        <is>
          <t>Inundacion costera</t>
        </is>
      </c>
    </row>
    <row r="68">
      <c r="A68" t="inlineStr">
        <is>
          <t>PI superación de umbral</t>
        </is>
      </c>
      <c r="B68" s="2" t="inlineStr">
        <is>
          <t>Personal del puerto</t>
        </is>
      </c>
      <c r="C68" t="inlineStr">
        <is>
          <t>Exceso de Viento</t>
        </is>
      </c>
      <c r="D68" t="inlineStr">
        <is>
          <t>Viento</t>
        </is>
      </c>
      <c r="E68" t="inlineStr">
        <is>
          <t>ELO</t>
        </is>
      </c>
      <c r="F68" t="inlineStr">
        <is>
          <t>P99</t>
        </is>
      </c>
      <c r="G68" t="inlineStr">
        <is>
          <t>Predefinido</t>
        </is>
      </c>
      <c r="H68">
        <f>IF(COUNTA(I68:Q68)&lt;3,"",COUNTA(I68:Q68)/3)</f>
        <v/>
      </c>
      <c r="I68" t="inlineStr">
        <is>
          <t>Viento</t>
        </is>
      </c>
      <c r="J68" t="inlineStr">
        <is>
          <t>Número de días ventosos</t>
        </is>
      </c>
      <c r="K68" t="inlineStr">
        <is>
          <t>Número de días ventosos</t>
        </is>
      </c>
    </row>
    <row r="69">
      <c r="A69" t="inlineStr">
        <is>
          <t>PI exceso de precipitación</t>
        </is>
      </c>
      <c r="B69" s="2" t="inlineStr">
        <is>
          <t>Personal del puerto</t>
        </is>
      </c>
      <c r="C69" t="inlineStr">
        <is>
          <t>Exceso de precipitación</t>
        </is>
      </c>
      <c r="D69" t="inlineStr">
        <is>
          <t>Precipitación</t>
        </is>
      </c>
      <c r="E69" t="inlineStr">
        <is>
          <t>ELO</t>
        </is>
      </c>
      <c r="F69" t="inlineStr">
        <is>
          <t>P98</t>
        </is>
      </c>
      <c r="G69" t="inlineStr">
        <is>
          <t>Predefinido</t>
        </is>
      </c>
      <c r="H69" t="n">
        <v>1</v>
      </c>
      <c r="I69" t="inlineStr">
        <is>
          <t>Precipitacion</t>
        </is>
      </c>
      <c r="J69" t="inlineStr">
        <is>
          <t>Número de días con lluvia intensa</t>
        </is>
      </c>
      <c r="K69" t="inlineStr">
        <is>
          <t>Número de días con lluvia intensa</t>
        </is>
      </c>
    </row>
    <row r="70">
      <c r="A70" t="inlineStr">
        <is>
          <t>PI exceso de precipitación</t>
        </is>
      </c>
      <c r="B70" t="inlineStr">
        <is>
          <t>Manipulación de mercancía</t>
        </is>
      </c>
      <c r="C70" t="inlineStr">
        <is>
          <t>Exceso de precipitación</t>
        </is>
      </c>
      <c r="D70" t="inlineStr">
        <is>
          <t>Precipitación</t>
        </is>
      </c>
      <c r="E70" t="inlineStr">
        <is>
          <t>ELO</t>
        </is>
      </c>
      <c r="F70" t="inlineStr">
        <is>
          <t>P99</t>
        </is>
      </c>
      <c r="G70" t="inlineStr">
        <is>
          <t>Predefinido</t>
        </is>
      </c>
      <c r="H70" t="n">
        <v>2</v>
      </c>
      <c r="I70" t="inlineStr">
        <is>
          <t>Precipitacion</t>
        </is>
      </c>
      <c r="J70" t="inlineStr">
        <is>
          <t>Número de días al año con precipitación ≥ 1 mm</t>
        </is>
      </c>
      <c r="K70" t="inlineStr">
        <is>
          <t>Número de días al año con precipitación ≥ 1 mm</t>
        </is>
      </c>
      <c r="L70" t="inlineStr">
        <is>
          <t>Precipitacion</t>
        </is>
      </c>
      <c r="M70" t="inlineStr">
        <is>
          <t>Número de días al año con precipitación ≥ 20 mm</t>
        </is>
      </c>
      <c r="N70" t="inlineStr">
        <is>
          <t>Número de días al año con precipitación ≥ 20 mm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2026-07-31T12:19:44Z</dcterms:created>
  <dcterms:modified xmlns:dcterms="http://purl.org/dc/terms/" xmlns:xsi="http://www.w3.org/2001/XMLSchema-instance" xsi:type="dcterms:W3CDTF">2026-08-05T10:29:16Z</dcterms:modified>
  <cp:lastModifiedBy>Fernández González, Yailín</cp:lastModifiedBy>
</cp:coreProperties>
</file>