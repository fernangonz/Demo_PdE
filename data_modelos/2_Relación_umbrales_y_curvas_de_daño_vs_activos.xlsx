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DE\DEMO\data_modelos\"/>
    </mc:Choice>
  </mc:AlternateContent>
  <xr:revisionPtr revIDLastSave="0" documentId="13_ncr:1_{5FF77E22-C286-4064-A5D1-72F1E0D1260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ListRelacion impactos-indicador" sheetId="3" r:id="rId1"/>
    <sheet name="UnidadMedida" sheetId="19" r:id="rId2"/>
    <sheet name="CONTAR" sheetId="17" r:id="rId3"/>
    <sheet name="Agitación-Oleaje" sheetId="2" r:id="rId4"/>
    <sheet name="Asociados" sheetId="1" r:id="rId5"/>
    <sheet name="Calado" sheetId="8" r:id="rId6"/>
    <sheet name="Compuestos" sheetId="16" r:id="rId7"/>
    <sheet name="Corriente" sheetId="5" r:id="rId8"/>
    <sheet name="Francobordo" sheetId="9" r:id="rId9"/>
    <sheet name="Inundación costera" sheetId="10" r:id="rId10"/>
    <sheet name="Precipitación" sheetId="7" r:id="rId11"/>
    <sheet name="Rebase" sheetId="15" r:id="rId12"/>
    <sheet name="Temperatura" sheetId="13" r:id="rId13"/>
    <sheet name="Viento" sheetId="4" r:id="rId14"/>
    <sheet name="Visibilidad" sheetId="6" r:id="rId15"/>
  </sheets>
  <definedNames>
    <definedName name="_xlnm._FilterDatabase" localSheetId="3" hidden="1">'Agitación-Oleaje'!$A$1:$P$13</definedName>
    <definedName name="_xlnm._FilterDatabase" localSheetId="4" hidden="1">Asociados!$B$1:$G$2</definedName>
    <definedName name="_xlnm._FilterDatabase" localSheetId="2" hidden="1">CONTAR!$A$1:$P$1</definedName>
    <definedName name="_xlnm._FilterDatabase" localSheetId="0" hidden="1">'ListRelacion impactos-indicador'!$A$1:$P$182</definedName>
    <definedName name="_xlnm._FilterDatabase" localSheetId="12" hidden="1">Temperatura!$B$1:$G$1</definedName>
    <definedName name="_xlnm._FilterDatabase" localSheetId="13" hidden="1">Viento!$A$1:$P$43</definedName>
    <definedName name="_xlnm.Print_Area" localSheetId="3">'Agitación-Oleaje'!$A$1:$P$14</definedName>
    <definedName name="_xlnm.Print_Area" localSheetId="6">Compuestos!$A$1:$P$19</definedName>
    <definedName name="_xlnm.Print_Area" localSheetId="7">Corriente!$A$1:$P$5</definedName>
    <definedName name="_xlnm.Print_Area" localSheetId="9">'Inundación costera'!$A$1:$P$54</definedName>
    <definedName name="_xlnm.Print_Area" localSheetId="0">'ListRelacion impactos-indicador'!$A$1:$P$179</definedName>
    <definedName name="_xlnm.Print_Area" localSheetId="10">Precipitación!$A$1:$P$3</definedName>
    <definedName name="_xlnm.Print_Area" localSheetId="11">Rebase!$A$1:$P$5</definedName>
    <definedName name="_xlnm.Print_Area" localSheetId="12">Temperatura!$A$1:$P$13</definedName>
    <definedName name="_xlnm.Print_Area" localSheetId="13">Viento!$A$1:$P$44</definedName>
    <definedName name="_xlnm.Print_Area" localSheetId="14">Visibilidad!$A$1:$P$11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7" i="3" l="1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56" i="3"/>
  <c r="G99" i="3"/>
  <c r="G100" i="3"/>
  <c r="G101" i="3"/>
  <c r="H1" i="15" s="1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98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H1" i="9" s="1"/>
  <c r="G38" i="3"/>
  <c r="G39" i="3"/>
  <c r="H1" i="8" s="1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H1" i="10" s="1"/>
  <c r="G53" i="3"/>
  <c r="G54" i="3"/>
  <c r="G55" i="3"/>
  <c r="G56" i="3"/>
  <c r="G57" i="3"/>
  <c r="G58" i="3"/>
  <c r="G59" i="3"/>
  <c r="G60" i="3"/>
  <c r="G61" i="3"/>
  <c r="G62" i="3"/>
  <c r="G63" i="3"/>
  <c r="G64" i="3"/>
  <c r="H1" i="7" s="1"/>
  <c r="G65" i="3"/>
  <c r="G66" i="3"/>
  <c r="H1" i="13" s="1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N2" i="17"/>
  <c r="G2" i="2" a="1"/>
  <c r="G2" i="2" s="1"/>
  <c r="H1" i="4"/>
  <c r="G2" i="3"/>
  <c r="H1" i="5"/>
  <c r="H1" i="6"/>
  <c r="H1" i="16"/>
  <c r="H1" i="1"/>
  <c r="H2" i="2" a="1"/>
  <c r="H2" i="2" s="1"/>
  <c r="H1" i="2" l="1"/>
  <c r="H2" i="6" a="1"/>
  <c r="H2" i="6" s="1"/>
  <c r="I2" i="4" a="1"/>
  <c r="I2" i="4" s="1"/>
  <c r="J2" i="4" a="1"/>
  <c r="J2" i="4" s="1"/>
  <c r="K2" i="4" a="1"/>
  <c r="K2" i="4" s="1"/>
  <c r="L2" i="4" a="1"/>
  <c r="L2" i="4" s="1"/>
  <c r="M2" i="4" a="1"/>
  <c r="M2" i="4" s="1"/>
  <c r="N2" i="4" a="1"/>
  <c r="N2" i="4" s="1"/>
  <c r="O2" i="4" a="1"/>
  <c r="O2" i="4" s="1"/>
  <c r="P2" i="4" a="1"/>
  <c r="P2" i="4" s="1"/>
  <c r="H2" i="4" a="1"/>
  <c r="H2" i="4" s="1"/>
  <c r="I2" i="13" a="1"/>
  <c r="I2" i="13" s="1"/>
  <c r="J2" i="13" a="1"/>
  <c r="J2" i="13" s="1"/>
  <c r="K2" i="13" a="1"/>
  <c r="K2" i="13" s="1"/>
  <c r="L2" i="13" a="1"/>
  <c r="L2" i="13" s="1"/>
  <c r="M2" i="13" a="1"/>
  <c r="M2" i="13" s="1"/>
  <c r="N2" i="13" a="1"/>
  <c r="N2" i="13" s="1"/>
  <c r="O2" i="13" a="1"/>
  <c r="O2" i="13" s="1"/>
  <c r="P2" i="13" a="1"/>
  <c r="P2" i="13" s="1"/>
  <c r="H2" i="13" a="1"/>
  <c r="H2" i="13" s="1"/>
  <c r="I2" i="15" a="1"/>
  <c r="I2" i="15" s="1"/>
  <c r="J2" i="15" a="1"/>
  <c r="J2" i="15" s="1"/>
  <c r="K2" i="15" a="1"/>
  <c r="K2" i="15" s="1"/>
  <c r="L2" i="15" a="1"/>
  <c r="L2" i="15" s="1"/>
  <c r="M2" i="15" a="1"/>
  <c r="M2" i="15" s="1"/>
  <c r="N2" i="15" a="1"/>
  <c r="N2" i="15" s="1"/>
  <c r="O2" i="15" a="1"/>
  <c r="O2" i="15" s="1"/>
  <c r="P2" i="15" a="1"/>
  <c r="P2" i="15" s="1"/>
  <c r="H2" i="15" a="1"/>
  <c r="H2" i="15" s="1"/>
  <c r="I2" i="7" a="1"/>
  <c r="I2" i="7" s="1"/>
  <c r="J2" i="7" a="1"/>
  <c r="J2" i="7" s="1"/>
  <c r="K2" i="7" a="1"/>
  <c r="K2" i="7" s="1"/>
  <c r="L2" i="7" a="1"/>
  <c r="L2" i="7" s="1"/>
  <c r="M2" i="7" a="1"/>
  <c r="M2" i="7" s="1"/>
  <c r="N2" i="7" a="1"/>
  <c r="N2" i="7" s="1"/>
  <c r="O2" i="7" a="1"/>
  <c r="O2" i="7" s="1"/>
  <c r="P2" i="7" a="1"/>
  <c r="P2" i="7" s="1"/>
  <c r="H2" i="7" a="1"/>
  <c r="H2" i="7" s="1"/>
  <c r="I2" i="10" a="1"/>
  <c r="I2" i="10" s="1"/>
  <c r="J2" i="10" a="1"/>
  <c r="J2" i="10" s="1"/>
  <c r="K2" i="10" a="1"/>
  <c r="K2" i="10" s="1"/>
  <c r="L2" i="10" a="1"/>
  <c r="L2" i="10" s="1"/>
  <c r="M2" i="10" a="1"/>
  <c r="M2" i="10" s="1"/>
  <c r="N2" i="10" a="1"/>
  <c r="N2" i="10" s="1"/>
  <c r="O2" i="10" a="1"/>
  <c r="O2" i="10" s="1"/>
  <c r="P2" i="10" a="1"/>
  <c r="P2" i="10" s="1"/>
  <c r="H2" i="10" a="1"/>
  <c r="H2" i="10" s="1"/>
  <c r="I2" i="9" a="1"/>
  <c r="I2" i="9" s="1"/>
  <c r="J2" i="9" a="1"/>
  <c r="J2" i="9" s="1"/>
  <c r="K2" i="9" a="1"/>
  <c r="K2" i="9" s="1"/>
  <c r="L2" i="9" a="1"/>
  <c r="L2" i="9" s="1"/>
  <c r="M2" i="9" a="1"/>
  <c r="M2" i="9" s="1"/>
  <c r="N2" i="9" a="1"/>
  <c r="N2" i="9" s="1"/>
  <c r="O2" i="9" a="1"/>
  <c r="O2" i="9" s="1"/>
  <c r="P2" i="9" a="1"/>
  <c r="P2" i="9" s="1"/>
  <c r="H2" i="9" a="1"/>
  <c r="H2" i="9" s="1"/>
  <c r="I2" i="5" a="1"/>
  <c r="I2" i="5" s="1"/>
  <c r="J2" i="5" a="1"/>
  <c r="J2" i="5" s="1"/>
  <c r="K2" i="5" a="1"/>
  <c r="K2" i="5" s="1"/>
  <c r="L2" i="5" a="1"/>
  <c r="L2" i="5" s="1"/>
  <c r="M2" i="5" a="1"/>
  <c r="M2" i="5" s="1"/>
  <c r="N2" i="5" a="1"/>
  <c r="N2" i="5" s="1"/>
  <c r="O2" i="5" a="1"/>
  <c r="O2" i="5" s="1"/>
  <c r="P2" i="5" a="1"/>
  <c r="P2" i="5" s="1"/>
  <c r="H2" i="5" a="1"/>
  <c r="H2" i="5" s="1"/>
  <c r="I2" i="16" a="1"/>
  <c r="I2" i="16" s="1"/>
  <c r="J2" i="16" a="1"/>
  <c r="J2" i="16" s="1"/>
  <c r="K2" i="16" a="1"/>
  <c r="K2" i="16" s="1"/>
  <c r="L2" i="16" a="1"/>
  <c r="L2" i="16" s="1"/>
  <c r="M2" i="16" a="1"/>
  <c r="M2" i="16" s="1"/>
  <c r="N2" i="16" a="1"/>
  <c r="N2" i="16" s="1"/>
  <c r="O2" i="16" a="1"/>
  <c r="O2" i="16" s="1"/>
  <c r="P2" i="16" a="1"/>
  <c r="P2" i="16" s="1"/>
  <c r="H2" i="16" a="1"/>
  <c r="H2" i="16" s="1"/>
  <c r="I2" i="8" a="1"/>
  <c r="I2" i="8" s="1"/>
  <c r="J2" i="8" a="1"/>
  <c r="J2" i="8" s="1"/>
  <c r="K2" i="8" a="1"/>
  <c r="K2" i="8" s="1"/>
  <c r="L2" i="8" a="1"/>
  <c r="L2" i="8" s="1"/>
  <c r="M2" i="8" a="1"/>
  <c r="M2" i="8" s="1"/>
  <c r="N2" i="8" a="1"/>
  <c r="N2" i="8" s="1"/>
  <c r="O2" i="8" a="1"/>
  <c r="O2" i="8" s="1"/>
  <c r="P2" i="8" a="1"/>
  <c r="P2" i="8" s="1"/>
  <c r="H2" i="1" a="1"/>
  <c r="H2" i="1" s="1"/>
  <c r="H2" i="8" a="1"/>
  <c r="H2" i="8" s="1"/>
  <c r="I2" i="1" a="1"/>
  <c r="I2" i="1" s="1"/>
  <c r="J2" i="1" a="1"/>
  <c r="J2" i="1" s="1"/>
  <c r="K2" i="1" a="1"/>
  <c r="K2" i="1" s="1"/>
  <c r="L2" i="1" a="1"/>
  <c r="L2" i="1" s="1"/>
  <c r="M2" i="1" a="1"/>
  <c r="M2" i="1" s="1"/>
  <c r="N2" i="1" a="1"/>
  <c r="N2" i="1" s="1"/>
  <c r="O2" i="1" a="1"/>
  <c r="O2" i="1" s="1"/>
  <c r="P2" i="1" a="1"/>
  <c r="P2" i="1" s="1"/>
  <c r="I2" i="2" a="1"/>
  <c r="I2" i="2" s="1"/>
  <c r="J2" i="2" a="1"/>
  <c r="J2" i="2" s="1"/>
  <c r="K2" i="2" a="1"/>
  <c r="K2" i="2" s="1"/>
  <c r="L2" i="2" a="1"/>
  <c r="L2" i="2" s="1"/>
  <c r="M2" i="2" a="1"/>
  <c r="M2" i="2" s="1"/>
  <c r="N2" i="2" a="1"/>
  <c r="N2" i="2" s="1"/>
  <c r="O2" i="2" a="1"/>
  <c r="O2" i="2" s="1"/>
  <c r="P2" i="2" a="1"/>
  <c r="P2" i="2" s="1"/>
  <c r="F2" i="2" a="1"/>
  <c r="F2" i="2" s="1"/>
  <c r="A25" i="16"/>
  <c r="M3" i="17" a="1"/>
  <c r="M3" i="17" s="1"/>
  <c r="D2" i="16" a="1"/>
  <c r="D2" i="16" s="1"/>
  <c r="E2" i="16" a="1"/>
  <c r="E2" i="16" s="1"/>
  <c r="F2" i="16" a="1"/>
  <c r="F2" i="16" s="1"/>
  <c r="G2" i="16" a="1"/>
  <c r="G2" i="16" s="1"/>
  <c r="C2" i="16" a="1"/>
  <c r="C2" i="16" s="1"/>
  <c r="B2" i="16" a="1"/>
  <c r="B2" i="16" s="1"/>
  <c r="A2" i="16" s="1" a="1"/>
  <c r="A2" i="16" s="1"/>
  <c r="C2" i="9" a="1"/>
  <c r="C2" i="9" s="1"/>
  <c r="D2" i="9" a="1"/>
  <c r="D2" i="9" s="1"/>
  <c r="E2" i="9" a="1"/>
  <c r="E2" i="9" s="1"/>
  <c r="F2" i="9" a="1"/>
  <c r="F2" i="9" s="1"/>
  <c r="G2" i="9" a="1"/>
  <c r="G2" i="9" s="1"/>
  <c r="B2" i="9" a="1"/>
  <c r="B2" i="9" s="1"/>
  <c r="A2" i="9" s="1" a="1"/>
  <c r="A2" i="9" s="1"/>
  <c r="C2" i="8" a="1"/>
  <c r="C2" i="8" s="1"/>
  <c r="D2" i="8" a="1"/>
  <c r="D2" i="8" s="1"/>
  <c r="E2" i="8" a="1"/>
  <c r="E2" i="8" s="1"/>
  <c r="F2" i="8" a="1"/>
  <c r="F2" i="8" s="1"/>
  <c r="G2" i="8" a="1"/>
  <c r="G2" i="8" s="1"/>
  <c r="B2" i="8" a="1"/>
  <c r="B2" i="8" s="1"/>
  <c r="A2" i="8" s="1" a="1"/>
  <c r="A2" i="8" s="1"/>
  <c r="C2" i="6" a="1"/>
  <c r="C2" i="6" s="1"/>
  <c r="D2" i="6" a="1"/>
  <c r="D2" i="6" s="1"/>
  <c r="E2" i="6" a="1"/>
  <c r="E2" i="6" s="1"/>
  <c r="F2" i="6" a="1"/>
  <c r="F2" i="6" s="1"/>
  <c r="G2" i="6" a="1"/>
  <c r="G2" i="6" s="1"/>
  <c r="B2" i="6" a="1"/>
  <c r="B2" i="6" s="1"/>
  <c r="A2" i="6" s="1" a="1"/>
  <c r="A2" i="6" s="1"/>
  <c r="C2" i="5" a="1"/>
  <c r="C2" i="5" s="1"/>
  <c r="D2" i="5" a="1"/>
  <c r="D2" i="5" s="1"/>
  <c r="E2" i="5" a="1"/>
  <c r="E2" i="5" s="1"/>
  <c r="F2" i="5" a="1"/>
  <c r="F2" i="5" s="1"/>
  <c r="G2" i="5" a="1"/>
  <c r="G2" i="5" s="1"/>
  <c r="B2" i="5" a="1"/>
  <c r="B2" i="5" s="1"/>
  <c r="A2" i="5" s="1" a="1"/>
  <c r="A2" i="5" s="1"/>
  <c r="C2" i="4" a="1"/>
  <c r="C2" i="4" s="1"/>
  <c r="D2" i="4" a="1"/>
  <c r="D2" i="4" s="1"/>
  <c r="E2" i="4" a="1"/>
  <c r="E2" i="4" s="1"/>
  <c r="F2" i="4" a="1"/>
  <c r="F2" i="4" s="1"/>
  <c r="G2" i="4" a="1"/>
  <c r="G2" i="4" s="1"/>
  <c r="B2" i="4" a="1"/>
  <c r="B2" i="4" s="1"/>
  <c r="A2" i="4" s="1" a="1"/>
  <c r="A2" i="4" s="1"/>
  <c r="C2" i="2" a="1"/>
  <c r="C2" i="2" s="1"/>
  <c r="D2" i="2" a="1"/>
  <c r="D2" i="2" s="1"/>
  <c r="E2" i="2" a="1"/>
  <c r="E2" i="2" s="1"/>
  <c r="B2" i="2" a="1"/>
  <c r="B2" i="2" s="1"/>
  <c r="G2" i="17" s="1"/>
  <c r="C2" i="7" a="1"/>
  <c r="C2" i="7" s="1"/>
  <c r="D2" i="7" a="1"/>
  <c r="D2" i="7" s="1"/>
  <c r="E2" i="7" a="1"/>
  <c r="E2" i="7" s="1"/>
  <c r="F2" i="7" a="1"/>
  <c r="F2" i="7" s="1"/>
  <c r="G2" i="7" a="1"/>
  <c r="G2" i="7" s="1"/>
  <c r="B2" i="7" a="1"/>
  <c r="B2" i="7" s="1"/>
  <c r="A2" i="7" s="1" a="1"/>
  <c r="A2" i="7" s="1"/>
  <c r="C2" i="10" a="1"/>
  <c r="C2" i="10" s="1"/>
  <c r="D2" i="10" a="1"/>
  <c r="D2" i="10" s="1"/>
  <c r="E2" i="10" a="1"/>
  <c r="E2" i="10" s="1"/>
  <c r="F2" i="10" a="1"/>
  <c r="F2" i="10" s="1"/>
  <c r="G2" i="10" a="1"/>
  <c r="G2" i="10" s="1"/>
  <c r="B2" i="10" a="1"/>
  <c r="B2" i="10" s="1"/>
  <c r="A2" i="10" s="1" a="1"/>
  <c r="A2" i="10" s="1"/>
  <c r="C2" i="13" a="1"/>
  <c r="C2" i="13" s="1"/>
  <c r="D2" i="13" a="1"/>
  <c r="D2" i="13" s="1"/>
  <c r="E2" i="13" a="1"/>
  <c r="E2" i="13" s="1"/>
  <c r="F2" i="13" a="1"/>
  <c r="F2" i="13" s="1"/>
  <c r="G2" i="13" a="1"/>
  <c r="G2" i="13" s="1"/>
  <c r="B2" i="13" a="1"/>
  <c r="B2" i="13" s="1"/>
  <c r="A2" i="13" s="1" a="1"/>
  <c r="A2" i="13" s="1"/>
  <c r="C2" i="1" a="1"/>
  <c r="C2" i="1" s="1"/>
  <c r="D2" i="1" a="1"/>
  <c r="D2" i="1" s="1"/>
  <c r="E2" i="1" a="1"/>
  <c r="E2" i="1" s="1"/>
  <c r="F2" i="1" a="1"/>
  <c r="F2" i="1" s="1"/>
  <c r="G2" i="1" a="1"/>
  <c r="G2" i="1" s="1"/>
  <c r="B2" i="1" a="1"/>
  <c r="B2" i="1" s="1"/>
  <c r="A2" i="1" s="1" a="1"/>
  <c r="A2" i="1" s="1"/>
  <c r="E2" i="15" a="1"/>
  <c r="E2" i="15" s="1"/>
  <c r="F2" i="15" a="1"/>
  <c r="F2" i="15" s="1"/>
  <c r="G2" i="15" a="1"/>
  <c r="G2" i="15" s="1"/>
  <c r="D2" i="15" a="1"/>
  <c r="D2" i="15" s="1"/>
  <c r="C2" i="15" a="1"/>
  <c r="C2" i="15" s="1"/>
  <c r="B2" i="15" a="1"/>
  <c r="B2" i="15" s="1"/>
  <c r="A2" i="15" s="1" a="1"/>
  <c r="A2" i="15" s="1"/>
  <c r="A2" i="17"/>
  <c r="D3" i="17" a="1"/>
  <c r="L2" i="17"/>
  <c r="C3" i="17" a="1"/>
  <c r="K2" i="17"/>
  <c r="F2" i="17"/>
  <c r="N3" i="17" a="1"/>
  <c r="B2" i="17"/>
  <c r="D2" i="17"/>
  <c r="L3" i="17" a="1"/>
  <c r="K3" i="17" a="1"/>
  <c r="A3" i="17" a="1"/>
  <c r="I3" i="17" a="1"/>
  <c r="I2" i="17"/>
  <c r="E2" i="17"/>
  <c r="E3" i="17" a="1"/>
  <c r="H2" i="17"/>
  <c r="H3" i="17" a="1"/>
  <c r="J2" i="17"/>
  <c r="C2" i="17"/>
  <c r="F3" i="17" a="1"/>
  <c r="J3" i="17" a="1"/>
  <c r="B3" i="17" a="1"/>
  <c r="M2" i="17" l="1"/>
  <c r="O2" i="17" s="1"/>
  <c r="A2" i="2" a="1"/>
  <c r="A2" i="2" s="1"/>
  <c r="O4" i="17"/>
  <c r="O12" i="17"/>
  <c r="O20" i="17"/>
  <c r="O28" i="17"/>
  <c r="O36" i="17"/>
  <c r="O44" i="17"/>
  <c r="O52" i="17"/>
  <c r="O60" i="17"/>
  <c r="O68" i="17"/>
  <c r="O76" i="17"/>
  <c r="O84" i="17"/>
  <c r="O92" i="17"/>
  <c r="O100" i="17"/>
  <c r="O108" i="17"/>
  <c r="O116" i="17"/>
  <c r="O124" i="17"/>
  <c r="O132" i="17"/>
  <c r="O140" i="17"/>
  <c r="O148" i="17"/>
  <c r="O156" i="17"/>
  <c r="O164" i="17"/>
  <c r="O172" i="17"/>
  <c r="O42" i="17"/>
  <c r="O66" i="17"/>
  <c r="O74" i="17"/>
  <c r="O114" i="17"/>
  <c r="O154" i="17"/>
  <c r="O11" i="17"/>
  <c r="O99" i="17"/>
  <c r="O163" i="17"/>
  <c r="O5" i="17"/>
  <c r="O13" i="17"/>
  <c r="O21" i="17"/>
  <c r="O29" i="17"/>
  <c r="O37" i="17"/>
  <c r="O45" i="17"/>
  <c r="O53" i="17"/>
  <c r="O61" i="17"/>
  <c r="O69" i="17"/>
  <c r="O77" i="17"/>
  <c r="O85" i="17"/>
  <c r="O93" i="17"/>
  <c r="O101" i="17"/>
  <c r="O109" i="17"/>
  <c r="O117" i="17"/>
  <c r="O125" i="17"/>
  <c r="O133" i="17"/>
  <c r="O141" i="17"/>
  <c r="O149" i="17"/>
  <c r="O157" i="17"/>
  <c r="O165" i="17"/>
  <c r="O173" i="17"/>
  <c r="O50" i="17"/>
  <c r="O130" i="17"/>
  <c r="O43" i="17"/>
  <c r="O115" i="17"/>
  <c r="O171" i="17"/>
  <c r="O6" i="17"/>
  <c r="O14" i="17"/>
  <c r="O22" i="17"/>
  <c r="O30" i="17"/>
  <c r="O38" i="17"/>
  <c r="O46" i="17"/>
  <c r="O54" i="17"/>
  <c r="O62" i="17"/>
  <c r="O70" i="17"/>
  <c r="O78" i="17"/>
  <c r="O86" i="17"/>
  <c r="O94" i="17"/>
  <c r="O102" i="17"/>
  <c r="O110" i="17"/>
  <c r="O118" i="17"/>
  <c r="O126" i="17"/>
  <c r="O134" i="17"/>
  <c r="O142" i="17"/>
  <c r="O150" i="17"/>
  <c r="O158" i="17"/>
  <c r="O166" i="17"/>
  <c r="O174" i="17"/>
  <c r="O34" i="17"/>
  <c r="O90" i="17"/>
  <c r="O138" i="17"/>
  <c r="O35" i="17"/>
  <c r="O59" i="17"/>
  <c r="O75" i="17"/>
  <c r="O107" i="17"/>
  <c r="O139" i="17"/>
  <c r="O7" i="17"/>
  <c r="O15" i="17"/>
  <c r="O23" i="17"/>
  <c r="O31" i="17"/>
  <c r="O39" i="17"/>
  <c r="O47" i="17"/>
  <c r="O55" i="17"/>
  <c r="O63" i="17"/>
  <c r="O71" i="17"/>
  <c r="O79" i="17"/>
  <c r="O87" i="17"/>
  <c r="O95" i="17"/>
  <c r="O103" i="17"/>
  <c r="O111" i="17"/>
  <c r="O119" i="17"/>
  <c r="O127" i="17"/>
  <c r="O135" i="17"/>
  <c r="O143" i="17"/>
  <c r="O151" i="17"/>
  <c r="O159" i="17"/>
  <c r="O167" i="17"/>
  <c r="O175" i="17"/>
  <c r="O26" i="17"/>
  <c r="O122" i="17"/>
  <c r="O51" i="17"/>
  <c r="O123" i="17"/>
  <c r="O8" i="17"/>
  <c r="O16" i="17"/>
  <c r="O24" i="17"/>
  <c r="O32" i="17"/>
  <c r="O40" i="17"/>
  <c r="O48" i="17"/>
  <c r="O56" i="17"/>
  <c r="O64" i="17"/>
  <c r="O72" i="17"/>
  <c r="O80" i="17"/>
  <c r="O88" i="17"/>
  <c r="O96" i="17"/>
  <c r="O104" i="17"/>
  <c r="O112" i="17"/>
  <c r="O120" i="17"/>
  <c r="O128" i="17"/>
  <c r="O136" i="17"/>
  <c r="O144" i="17"/>
  <c r="O152" i="17"/>
  <c r="O160" i="17"/>
  <c r="O168" i="17"/>
  <c r="O176" i="17"/>
  <c r="O18" i="17"/>
  <c r="O98" i="17"/>
  <c r="O162" i="17"/>
  <c r="O27" i="17"/>
  <c r="O67" i="17"/>
  <c r="O83" i="17"/>
  <c r="O131" i="17"/>
  <c r="O147" i="17"/>
  <c r="O9" i="17"/>
  <c r="O17" i="17"/>
  <c r="O25" i="17"/>
  <c r="O33" i="17"/>
  <c r="O41" i="17"/>
  <c r="O49" i="17"/>
  <c r="O57" i="17"/>
  <c r="O65" i="17"/>
  <c r="O73" i="17"/>
  <c r="O81" i="17"/>
  <c r="O89" i="17"/>
  <c r="O97" i="17"/>
  <c r="O105" i="17"/>
  <c r="O113" i="17"/>
  <c r="O121" i="17"/>
  <c r="O129" i="17"/>
  <c r="O137" i="17"/>
  <c r="O145" i="17"/>
  <c r="O153" i="17"/>
  <c r="O161" i="17"/>
  <c r="O169" i="17"/>
  <c r="O177" i="17"/>
  <c r="O10" i="17"/>
  <c r="O58" i="17"/>
  <c r="O82" i="17"/>
  <c r="O106" i="17"/>
  <c r="O146" i="17"/>
  <c r="O170" i="17"/>
  <c r="O19" i="17"/>
  <c r="O91" i="17"/>
  <c r="O155" i="17"/>
  <c r="K3" i="17"/>
  <c r="D3" i="17"/>
  <c r="L3" i="17"/>
  <c r="N3" i="17"/>
  <c r="O3" i="17" s="1"/>
  <c r="J3" i="17"/>
  <c r="F3" i="17"/>
  <c r="C3" i="17"/>
  <c r="H3" i="17"/>
  <c r="I3" i="17"/>
  <c r="E3" i="17"/>
  <c r="B3" i="17"/>
  <c r="A3" i="17"/>
  <c r="G3" i="17" a="1"/>
  <c r="G3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<sst xmlns="http://schemas.openxmlformats.org/spreadsheetml/2006/main" count="1172" uniqueCount="135">
  <si>
    <t>Nº</t>
  </si>
  <si>
    <t>Tipo de impacto</t>
  </si>
  <si>
    <t>Modos de fallo / Modos de parada</t>
  </si>
  <si>
    <t>Variable</t>
  </si>
  <si>
    <t>Activo físico u Operacional</t>
  </si>
  <si>
    <t>Tipo activo/servicio</t>
  </si>
  <si>
    <t>ELO</t>
  </si>
  <si>
    <t>Exceso de Oleaje</t>
  </si>
  <si>
    <t>Oleaje</t>
  </si>
  <si>
    <t>Zona de fondeo y espera exterior</t>
  </si>
  <si>
    <t>Activo físico</t>
  </si>
  <si>
    <t>Exceso de Viento</t>
  </si>
  <si>
    <t>Viento</t>
  </si>
  <si>
    <t>Bocana</t>
  </si>
  <si>
    <t>Exceso de Corriente</t>
  </si>
  <si>
    <t>Corriente</t>
  </si>
  <si>
    <t>Visibilidad reducida</t>
  </si>
  <si>
    <t>Visibilidad</t>
  </si>
  <si>
    <t>Canal de acceso/ navegación</t>
  </si>
  <si>
    <t>Dársenas (zona de maniobra y reviro)</t>
  </si>
  <si>
    <t>Señalización y balizado</t>
  </si>
  <si>
    <t>Servicio de prácticos</t>
  </si>
  <si>
    <t>Operacional (servicios)</t>
  </si>
  <si>
    <t>Servicio de remolcadores</t>
  </si>
  <si>
    <t>Operaciones a flote (bunkering...)</t>
  </si>
  <si>
    <t>Rebase sobre obras de abrigo por acción del oleaje</t>
  </si>
  <si>
    <t>Dique en talud (con espaldón o sin espaldón)</t>
  </si>
  <si>
    <t>Carga hidráulica sobre las piezas de obras de abrigo (desplazamiento de las piezas del tronco, morro)</t>
  </si>
  <si>
    <t>Carga hidráulica sobre las piezas de obras de abrigo (erosión berma de pie)</t>
  </si>
  <si>
    <t>Nivel del mar</t>
  </si>
  <si>
    <t>Carga hidráulica sobre las piezas de obras de abrigo (desplazamiento o vuelco del espaldón)</t>
  </si>
  <si>
    <t>Dique vertical</t>
  </si>
  <si>
    <t>Carga hidráulica sobre las piezas de obras de abrigo (desplazamiento de las piezas del tronco, morro o berma)</t>
  </si>
  <si>
    <t>Carga hidráulica sobre las piezas de obras de abrigo (erosión de la banqueta)</t>
  </si>
  <si>
    <t>Falta de francobordo</t>
  </si>
  <si>
    <t>Muelle</t>
  </si>
  <si>
    <t>Falta de Calado</t>
  </si>
  <si>
    <t>Pantalán</t>
  </si>
  <si>
    <t>Duque de alba</t>
  </si>
  <si>
    <t>Boya / monoboya</t>
  </si>
  <si>
    <t>Rampa Ro-Ro</t>
  </si>
  <si>
    <t>Asociado a los EL de la obra de amarre y atraque (% de la perdida por parada)</t>
  </si>
  <si>
    <t>Servicio de amarradores</t>
  </si>
  <si>
    <t>Inundación</t>
  </si>
  <si>
    <t>Inundación costera</t>
  </si>
  <si>
    <t>Superficies</t>
  </si>
  <si>
    <t>Pavimentos</t>
  </si>
  <si>
    <t>Electricidad</t>
  </si>
  <si>
    <t>Alumbrado</t>
  </si>
  <si>
    <t>Suministro de agua</t>
  </si>
  <si>
    <t>Drenaje (pluvial)</t>
  </si>
  <si>
    <t>Telecomunicaciones y datos</t>
  </si>
  <si>
    <t>Accesos ferroviarios y terminales ferroportuarias</t>
  </si>
  <si>
    <t>Accesos viarios</t>
  </si>
  <si>
    <t>Edificios de servicios generales (Oficinas, Aduanas, PIF, Control de accesos, etc.)</t>
  </si>
  <si>
    <t>Exceso de viento</t>
  </si>
  <si>
    <t>Manipulación de mercancía</t>
  </si>
  <si>
    <t>Exceso de precipitación</t>
  </si>
  <si>
    <t>Precipitación</t>
  </si>
  <si>
    <t>Por temperatura extrema</t>
  </si>
  <si>
    <t>Temperatura</t>
  </si>
  <si>
    <t>Personal del puerto</t>
  </si>
  <si>
    <t>Zonas de Actividad Logística</t>
  </si>
  <si>
    <t>Astilleros, diques secos, varaderos</t>
  </si>
  <si>
    <t>Tanques de almacenamiento</t>
  </si>
  <si>
    <t>Depósito /Almacenamiento</t>
  </si>
  <si>
    <t>Grúas de muelle</t>
  </si>
  <si>
    <t>Maquinaria de patio</t>
  </si>
  <si>
    <t>Transporte de semiremolques</t>
  </si>
  <si>
    <t>Almacenamiento</t>
  </si>
  <si>
    <t>Grúa de muelle</t>
  </si>
  <si>
    <t>Campa y aparcamiento</t>
  </si>
  <si>
    <t>Medios de embarque / desembarque (pasarelas, etc)</t>
  </si>
  <si>
    <t>Estación marítima</t>
  </si>
  <si>
    <t>Suministros al pesquero (agua, combustible y hielo)</t>
  </si>
  <si>
    <t>Lonja</t>
  </si>
  <si>
    <t>Servicio de marinas y puertos deportivos</t>
  </si>
  <si>
    <t>Equipamientos culturales o deportivos</t>
  </si>
  <si>
    <t>ELS</t>
  </si>
  <si>
    <t>Deterioro de la señalización/balizamiento</t>
  </si>
  <si>
    <t>Por deterioro debido a temperatura del aire excesiva</t>
  </si>
  <si>
    <t>Deterioro debido a inundación</t>
  </si>
  <si>
    <t>Instalación OPS</t>
  </si>
  <si>
    <t>Por daños en infraestructuras debido a temperatura del aire excesiva</t>
  </si>
  <si>
    <t>Daño debido a viento</t>
  </si>
  <si>
    <t>Incremento de costes energéticos</t>
  </si>
  <si>
    <t>Por temperatura del aire excesiva</t>
  </si>
  <si>
    <t>Daño estructural debido a inundación</t>
  </si>
  <si>
    <t>Sistemas de carga y descarga (Tuberías)</t>
  </si>
  <si>
    <t>Medios de carga/descarga</t>
  </si>
  <si>
    <t>Tolvas y cintas transportadoras</t>
  </si>
  <si>
    <t>Por daños en infraestructura debido a Temperatura del aire excesiva</t>
  </si>
  <si>
    <t>Por daños en infraestructura debido a temperatura del aire excesiva</t>
  </si>
  <si>
    <t>Accesos peatonales, Paseo marítimo y carril bici</t>
  </si>
  <si>
    <t>Por viento</t>
  </si>
  <si>
    <t>Zona de ocio</t>
  </si>
  <si>
    <t>ELU</t>
  </si>
  <si>
    <t>Fallo de la señalización/balizamiento</t>
  </si>
  <si>
    <t>Carga hidráulica sobre las obras de amarre</t>
  </si>
  <si>
    <t>Asociado a los EL de la obra de amarre y atraque (% del daño)</t>
  </si>
  <si>
    <t>Defensas y bolardos</t>
  </si>
  <si>
    <t>Graneles Líquidos</t>
  </si>
  <si>
    <t>Graneles Sólidos</t>
  </si>
  <si>
    <t>Carga contenerizada</t>
  </si>
  <si>
    <t>Ro-ro y resto de mercancía general no contenerizada</t>
  </si>
  <si>
    <t>Pasajeros</t>
  </si>
  <si>
    <t>Pesquero</t>
  </si>
  <si>
    <t>Náutico-deportivo</t>
  </si>
  <si>
    <t>Puerto-ciudad</t>
  </si>
  <si>
    <t>Umbral General</t>
  </si>
  <si>
    <t>No</t>
  </si>
  <si>
    <t>Oleaje, Nivel del mar</t>
  </si>
  <si>
    <t>Asociado</t>
  </si>
  <si>
    <t>Compuestos</t>
  </si>
  <si>
    <t>Rebase</t>
  </si>
  <si>
    <t>Asociados</t>
  </si>
  <si>
    <t>Agitación-Oleaje</t>
  </si>
  <si>
    <t>Calado</t>
  </si>
  <si>
    <t>Francobordo</t>
  </si>
  <si>
    <t>ListRelacion impactos-indicador</t>
  </si>
  <si>
    <t>Oleaje, Corriente, Nivel medio del mar, Velocidad del viento</t>
  </si>
  <si>
    <t>Pestaña</t>
  </si>
  <si>
    <t>1.05*Dc+0.75</t>
  </si>
  <si>
    <t>Canal de acceso / navegación</t>
  </si>
  <si>
    <t>1.1*Dc+0.75</t>
  </si>
  <si>
    <t>UM</t>
  </si>
  <si>
    <t>m</t>
  </si>
  <si>
    <t>m/s</t>
  </si>
  <si>
    <t>mm</t>
  </si>
  <si>
    <t>m/s/m</t>
  </si>
  <si>
    <t>°C</t>
  </si>
  <si>
    <t>km</t>
  </si>
  <si>
    <t>Fallo</t>
  </si>
  <si>
    <t>Dársenas (zona de permanencia)</t>
  </si>
  <si>
    <t>Inundación pluvial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</si>
</sst>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Fill="1" applyBorder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74BC-59A6-4A79-9C09-252985CA5580}">
  <dimension ref="A1:P182"/>
  <sheetViews>
    <sheetView tabSelected="1" view="pageBreakPreview" topLeftCell="D1" zoomScale="115" zoomScaleNormal="100" zoomScaleSheetLayoutView="115" workbookViewId="0">
      <selection activeCell="E196" sqref="E196"/>
    </sheetView>
  </sheetViews>
  <sheetFormatPr baseColWidth="10" defaultColWidth="9.140625" defaultRowHeight="15" x14ac:dyDescent="0.25"/>
  <cols>
    <col min="1" max="1" width="7.85546875" style="1" bestFit="1" customWidth="1"/>
    <col min="2" max="2" width="19.7109375" style="1" bestFit="1" customWidth="1"/>
    <col min="3" max="3" width="99.5703125" style="1" bestFit="1" customWidth="1"/>
    <col min="4" max="4" width="55.7109375" style="1" customWidth="1"/>
    <col min="5" max="5" width="73.140625" style="1" bestFit="1" customWidth="1"/>
    <col min="6" max="6" width="23" style="1" bestFit="1" customWidth="1"/>
    <col min="7" max="7" width="23" style="1" customWidth="1"/>
    <col min="8" max="8" width="14.85546875" style="1" bestFit="1" customWidth="1"/>
    <col min="9" max="9" width="16.7109375" style="1" bestFit="1" customWidth="1"/>
    <col min="10" max="10" width="15.7109375" style="1" bestFit="1" customWidth="1"/>
    <col min="11" max="11" width="19" style="1" bestFit="1" customWidth="1"/>
    <col min="12" max="12" width="48.140625" style="1" bestFit="1" customWidth="1"/>
    <col min="13" max="14" width="9.42578125" style="1" bestFit="1" customWidth="1"/>
    <col min="15" max="15" width="17.42578125" style="1" bestFit="1" customWidth="1"/>
    <col min="16" max="16" width="13.5703125" style="1" bestFit="1" customWidth="1"/>
    <col min="17" max="16384" width="9.140625" style="1"/>
  </cols>
  <sheetData>
    <row r="1" spans="1:16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125</v>
      </c>
      <c r="H1" s="17" t="s">
        <v>109</v>
      </c>
      <c r="I1" s="17" t="s">
        <v>101</v>
      </c>
      <c r="J1" s="17" t="s">
        <v>102</v>
      </c>
      <c r="K1" s="17" t="s">
        <v>103</v>
      </c>
      <c r="L1" s="17" t="s">
        <v>104</v>
      </c>
      <c r="M1" s="17" t="s">
        <v>105</v>
      </c>
      <c r="N1" s="17" t="s">
        <v>106</v>
      </c>
      <c r="O1" s="17" t="s">
        <v>107</v>
      </c>
      <c r="P1" s="17" t="s">
        <v>108</v>
      </c>
    </row>
    <row r="2" spans="1:16" x14ac:dyDescent="0.25">
      <c r="A2" s="17">
        <v>1</v>
      </c>
      <c r="B2" s="17" t="s">
        <v>6</v>
      </c>
      <c r="C2" s="17" t="s">
        <v>7</v>
      </c>
      <c r="D2" s="17" t="s">
        <v>8</v>
      </c>
      <c r="E2" s="17" t="s">
        <v>9</v>
      </c>
      <c r="F2" s="17" t="s">
        <v>10</v>
      </c>
      <c r="G2" s="17" t="str">
        <f>IF(C2="","",IFERROR(IF(INDEX(UnidadMedida!$B$1:$B$30,MATCH(C2,UnidadMedida!$A$1:$A$30,0))="","",INDEX(UnidadMedida!$B$1:$B$30,MATCH(C2,UnidadMedida!$A$1:$A$30,0))),""))</f>
        <v>m</v>
      </c>
      <c r="H2" s="17">
        <v>2.5</v>
      </c>
      <c r="I2" s="17"/>
      <c r="J2" s="17"/>
      <c r="K2" s="17"/>
      <c r="L2" s="17"/>
      <c r="M2" s="17"/>
      <c r="N2" s="17">
        <v>5</v>
      </c>
      <c r="O2" s="17">
        <v>5</v>
      </c>
      <c r="P2" s="17"/>
    </row>
    <row r="3" spans="1:16" x14ac:dyDescent="0.25">
      <c r="A3" s="17">
        <v>2</v>
      </c>
      <c r="B3" s="17" t="s">
        <v>6</v>
      </c>
      <c r="C3" s="17" t="s">
        <v>11</v>
      </c>
      <c r="D3" s="17" t="s">
        <v>12</v>
      </c>
      <c r="E3" s="17" t="s">
        <v>9</v>
      </c>
      <c r="F3" s="17" t="s">
        <v>10</v>
      </c>
      <c r="G3" s="17" t="str">
        <f>IF(C3="","",IFERROR(IF(INDEX(UnidadMedida!$B$1:$B$30,MATCH(C3,UnidadMedida!$A$1:$A$30,0))="","",INDEX(UnidadMedida!$B$1:$B$30,MATCH(C3,UnidadMedida!$A$1:$A$30,0))),""))</f>
        <v>m/s</v>
      </c>
      <c r="H3" s="17">
        <v>24</v>
      </c>
      <c r="I3" s="17"/>
      <c r="J3" s="17"/>
      <c r="K3" s="17"/>
      <c r="L3" s="17"/>
      <c r="M3" s="17"/>
      <c r="N3" s="17"/>
      <c r="O3" s="17"/>
      <c r="P3" s="17"/>
    </row>
    <row r="4" spans="1:16" x14ac:dyDescent="0.25">
      <c r="A4" s="17">
        <v>3</v>
      </c>
      <c r="B4" s="17" t="s">
        <v>6</v>
      </c>
      <c r="C4" s="17" t="s">
        <v>7</v>
      </c>
      <c r="D4" s="17" t="s">
        <v>8</v>
      </c>
      <c r="E4" s="17" t="s">
        <v>13</v>
      </c>
      <c r="F4" s="17" t="s">
        <v>10</v>
      </c>
      <c r="G4" s="17" t="str">
        <f>IF(C4="","",IFERROR(IF(INDEX(UnidadMedida!$B$1:$B$30,MATCH(C4,UnidadMedida!$A$1:$A$30,0))="","",INDEX(UnidadMedida!$B$1:$B$30,MATCH(C4,UnidadMedida!$A$1:$A$30,0))),""))</f>
        <v>m</v>
      </c>
      <c r="H4" s="17">
        <v>2</v>
      </c>
      <c r="I4" s="17"/>
      <c r="J4" s="17"/>
      <c r="K4" s="17"/>
      <c r="L4" s="17"/>
      <c r="M4" s="17"/>
      <c r="N4" s="17"/>
      <c r="O4" s="17"/>
      <c r="P4" s="17"/>
    </row>
    <row r="5" spans="1:16" x14ac:dyDescent="0.25">
      <c r="A5" s="17">
        <v>4</v>
      </c>
      <c r="B5" s="17" t="s">
        <v>6</v>
      </c>
      <c r="C5" s="17" t="s">
        <v>11</v>
      </c>
      <c r="D5" s="17" t="s">
        <v>12</v>
      </c>
      <c r="E5" s="17" t="s">
        <v>13</v>
      </c>
      <c r="F5" s="17" t="s">
        <v>10</v>
      </c>
      <c r="G5" s="17" t="str">
        <f>IF(C5="","",IFERROR(IF(INDEX(UnidadMedida!$B$1:$B$30,MATCH(C5,UnidadMedida!$A$1:$A$30,0))="","",INDEX(UnidadMedida!$B$1:$B$30,MATCH(C5,UnidadMedida!$A$1:$A$30,0))),""))</f>
        <v>m/s</v>
      </c>
      <c r="H5" s="17">
        <v>10</v>
      </c>
      <c r="I5" s="17"/>
      <c r="J5" s="17"/>
      <c r="K5" s="17"/>
      <c r="L5" s="17"/>
      <c r="M5" s="17"/>
      <c r="N5" s="17">
        <v>16</v>
      </c>
      <c r="O5" s="17">
        <v>16</v>
      </c>
      <c r="P5" s="17"/>
    </row>
    <row r="6" spans="1:16" x14ac:dyDescent="0.25">
      <c r="A6" s="17">
        <v>5</v>
      </c>
      <c r="B6" s="17" t="s">
        <v>6</v>
      </c>
      <c r="C6" s="17" t="s">
        <v>14</v>
      </c>
      <c r="D6" s="17" t="s">
        <v>15</v>
      </c>
      <c r="E6" s="17" t="s">
        <v>13</v>
      </c>
      <c r="F6" s="17" t="s">
        <v>10</v>
      </c>
      <c r="G6" s="17" t="str">
        <f>IF(C6="","",IFERROR(IF(INDEX(UnidadMedida!$B$1:$B$30,MATCH(C6,UnidadMedida!$A$1:$A$30,0))="","",INDEX(UnidadMedida!$B$1:$B$30,MATCH(C6,UnidadMedida!$A$1:$A$30,0))),""))</f>
        <v>m/s</v>
      </c>
      <c r="H6" s="17">
        <v>0.5</v>
      </c>
      <c r="I6" s="17"/>
      <c r="J6" s="17"/>
      <c r="K6" s="17"/>
      <c r="L6" s="17"/>
      <c r="M6" s="17"/>
      <c r="N6" s="17">
        <v>2</v>
      </c>
      <c r="O6" s="17">
        <v>2</v>
      </c>
      <c r="P6" s="17"/>
    </row>
    <row r="7" spans="1:16" x14ac:dyDescent="0.25">
      <c r="A7" s="17">
        <v>6</v>
      </c>
      <c r="B7" s="17" t="s">
        <v>6</v>
      </c>
      <c r="C7" s="17" t="s">
        <v>16</v>
      </c>
      <c r="D7" s="17" t="s">
        <v>17</v>
      </c>
      <c r="E7" s="17" t="s">
        <v>13</v>
      </c>
      <c r="F7" s="17" t="s">
        <v>10</v>
      </c>
      <c r="G7" s="17" t="str">
        <f>IF(C7="","",IFERROR(IF(INDEX(UnidadMedida!$B$1:$B$30,MATCH(C7,UnidadMedida!$A$1:$A$30,0))="","",INDEX(UnidadMedida!$B$1:$B$30,MATCH(C7,UnidadMedida!$A$1:$A$30,0))),""))</f>
        <v>km</v>
      </c>
      <c r="H7" s="17">
        <v>1</v>
      </c>
      <c r="I7" s="17"/>
      <c r="J7" s="17"/>
      <c r="K7" s="17"/>
      <c r="L7" s="17"/>
      <c r="M7" s="17"/>
      <c r="N7" s="17"/>
      <c r="O7" s="17"/>
      <c r="P7" s="17"/>
    </row>
    <row r="8" spans="1:16" x14ac:dyDescent="0.25">
      <c r="A8" s="17">
        <v>7</v>
      </c>
      <c r="B8" s="17" t="s">
        <v>6</v>
      </c>
      <c r="C8" s="17" t="s">
        <v>7</v>
      </c>
      <c r="D8" s="17" t="s">
        <v>8</v>
      </c>
      <c r="E8" s="17" t="s">
        <v>123</v>
      </c>
      <c r="F8" s="17" t="s">
        <v>10</v>
      </c>
      <c r="G8" s="17" t="str">
        <f>IF(C8="","",IFERROR(IF(INDEX(UnidadMedida!$B$1:$B$30,MATCH(C8,UnidadMedida!$A$1:$A$30,0))="","",INDEX(UnidadMedida!$B$1:$B$30,MATCH(C8,UnidadMedida!$A$1:$A$30,0))),""))</f>
        <v>m</v>
      </c>
      <c r="H8" s="17">
        <v>2.5</v>
      </c>
      <c r="I8" s="17"/>
      <c r="J8" s="17"/>
      <c r="K8" s="17"/>
      <c r="L8" s="17"/>
      <c r="M8" s="17"/>
      <c r="N8" s="17"/>
      <c r="O8" s="17"/>
      <c r="P8" s="17"/>
    </row>
    <row r="9" spans="1:16" x14ac:dyDescent="0.25">
      <c r="A9" s="17">
        <v>8</v>
      </c>
      <c r="B9" s="17" t="s">
        <v>6</v>
      </c>
      <c r="C9" s="17" t="s">
        <v>11</v>
      </c>
      <c r="D9" s="17" t="s">
        <v>12</v>
      </c>
      <c r="E9" s="17" t="s">
        <v>123</v>
      </c>
      <c r="F9" s="17" t="s">
        <v>10</v>
      </c>
      <c r="G9" s="17" t="str">
        <f>IF(C9="","",IFERROR(IF(INDEX(UnidadMedida!$B$1:$B$30,MATCH(C9,UnidadMedida!$A$1:$A$30,0))="","",INDEX(UnidadMedida!$B$1:$B$30,MATCH(C9,UnidadMedida!$A$1:$A$30,0))),""))</f>
        <v>m/s</v>
      </c>
      <c r="H9" s="17">
        <v>17</v>
      </c>
      <c r="I9" s="17"/>
      <c r="J9" s="17"/>
      <c r="K9" s="17"/>
      <c r="L9" s="17"/>
      <c r="M9" s="17"/>
      <c r="N9" s="17"/>
      <c r="O9" s="17"/>
      <c r="P9" s="17"/>
    </row>
    <row r="10" spans="1:16" x14ac:dyDescent="0.25">
      <c r="A10" s="17">
        <v>9</v>
      </c>
      <c r="B10" s="17" t="s">
        <v>6</v>
      </c>
      <c r="C10" s="17" t="s">
        <v>14</v>
      </c>
      <c r="D10" s="17" t="s">
        <v>15</v>
      </c>
      <c r="E10" s="17" t="s">
        <v>123</v>
      </c>
      <c r="F10" s="17" t="s">
        <v>10</v>
      </c>
      <c r="G10" s="17" t="str">
        <f>IF(C10="","",IFERROR(IF(INDEX(UnidadMedida!$B$1:$B$30,MATCH(C10,UnidadMedida!$A$1:$A$30,0))="","",INDEX(UnidadMedida!$B$1:$B$30,MATCH(C10,UnidadMedida!$A$1:$A$30,0))),""))</f>
        <v>m/s</v>
      </c>
      <c r="H10" s="17">
        <v>2</v>
      </c>
      <c r="I10" s="17"/>
      <c r="J10" s="17"/>
      <c r="K10" s="17"/>
      <c r="L10" s="17"/>
      <c r="M10" s="17"/>
      <c r="N10" s="17"/>
      <c r="O10" s="17"/>
      <c r="P10" s="17"/>
    </row>
    <row r="11" spans="1:16" x14ac:dyDescent="0.25">
      <c r="A11" s="17">
        <v>10</v>
      </c>
      <c r="B11" s="17" t="s">
        <v>6</v>
      </c>
      <c r="C11" s="17" t="s">
        <v>16</v>
      </c>
      <c r="D11" s="17" t="s">
        <v>17</v>
      </c>
      <c r="E11" s="17" t="s">
        <v>123</v>
      </c>
      <c r="F11" s="17" t="s">
        <v>10</v>
      </c>
      <c r="G11" s="17" t="str">
        <f>IF(C11="","",IFERROR(IF(INDEX(UnidadMedida!$B$1:$B$30,MATCH(C11,UnidadMedida!$A$1:$A$30,0))="","",INDEX(UnidadMedida!$B$1:$B$30,MATCH(C11,UnidadMedida!$A$1:$A$30,0))),""))</f>
        <v>km</v>
      </c>
      <c r="H11" s="17">
        <v>1</v>
      </c>
      <c r="I11" s="17"/>
      <c r="J11" s="17"/>
      <c r="K11" s="17"/>
      <c r="L11" s="17"/>
      <c r="M11" s="17"/>
      <c r="N11" s="17"/>
      <c r="O11" s="17"/>
      <c r="P11" s="17"/>
    </row>
    <row r="12" spans="1:16" x14ac:dyDescent="0.25">
      <c r="A12" s="17">
        <v>11</v>
      </c>
      <c r="B12" s="17" t="s">
        <v>6</v>
      </c>
      <c r="C12" s="17" t="s">
        <v>7</v>
      </c>
      <c r="D12" s="17" t="s">
        <v>8</v>
      </c>
      <c r="E12" s="17" t="s">
        <v>133</v>
      </c>
      <c r="F12" s="17" t="s">
        <v>10</v>
      </c>
      <c r="G12" s="17" t="str">
        <f>IF(C12="","",IFERROR(IF(INDEX(UnidadMedida!$B$1:$B$30,MATCH(C12,UnidadMedida!$A$1:$A$30,0))="","",INDEX(UnidadMedida!$B$1:$B$30,MATCH(C12,UnidadMedida!$A$1:$A$30,0))),""))</f>
        <v>m</v>
      </c>
      <c r="H12" s="17">
        <v>2</v>
      </c>
      <c r="I12" s="17"/>
      <c r="J12" s="17"/>
      <c r="K12" s="17"/>
      <c r="L12" s="17"/>
      <c r="M12" s="17"/>
      <c r="N12" s="17"/>
      <c r="O12" s="17"/>
      <c r="P12" s="17"/>
    </row>
    <row r="13" spans="1:16" x14ac:dyDescent="0.25">
      <c r="A13" s="17">
        <v>12</v>
      </c>
      <c r="B13" s="17" t="s">
        <v>6</v>
      </c>
      <c r="C13" s="17" t="s">
        <v>11</v>
      </c>
      <c r="D13" s="17" t="s">
        <v>12</v>
      </c>
      <c r="E13" s="17" t="s">
        <v>133</v>
      </c>
      <c r="F13" s="17" t="s">
        <v>10</v>
      </c>
      <c r="G13" s="17" t="str">
        <f>IF(C13="","",IFERROR(IF(INDEX(UnidadMedida!$B$1:$B$30,MATCH(C13,UnidadMedida!$A$1:$A$30,0))="","",INDEX(UnidadMedida!$B$1:$B$30,MATCH(C13,UnidadMedida!$A$1:$A$30,0))),""))</f>
        <v>m/s</v>
      </c>
      <c r="H13" s="17">
        <v>10</v>
      </c>
      <c r="I13" s="17"/>
      <c r="J13" s="17"/>
      <c r="K13" s="17"/>
      <c r="L13" s="17"/>
      <c r="M13" s="17"/>
      <c r="N13" s="17"/>
      <c r="O13" s="17"/>
      <c r="P13" s="17"/>
    </row>
    <row r="14" spans="1:16" x14ac:dyDescent="0.25">
      <c r="A14" s="17">
        <v>13</v>
      </c>
      <c r="B14" s="17" t="s">
        <v>6</v>
      </c>
      <c r="C14" s="17" t="s">
        <v>14</v>
      </c>
      <c r="D14" s="17" t="s">
        <v>15</v>
      </c>
      <c r="E14" s="17" t="s">
        <v>133</v>
      </c>
      <c r="F14" s="17" t="s">
        <v>10</v>
      </c>
      <c r="G14" s="17" t="str">
        <f>IF(C14="","",IFERROR(IF(INDEX(UnidadMedida!$B$1:$B$30,MATCH(C14,UnidadMedida!$A$1:$A$30,0))="","",INDEX(UnidadMedida!$B$1:$B$30,MATCH(C14,UnidadMedida!$A$1:$A$30,0))),""))</f>
        <v>m/s</v>
      </c>
      <c r="H14" s="17">
        <v>0.5</v>
      </c>
      <c r="I14" s="17"/>
      <c r="J14" s="17"/>
      <c r="K14" s="17"/>
      <c r="L14" s="17"/>
      <c r="M14" s="17"/>
      <c r="N14" s="17"/>
      <c r="O14" s="17"/>
      <c r="P14" s="17"/>
    </row>
    <row r="15" spans="1:16" x14ac:dyDescent="0.25">
      <c r="A15" s="17">
        <v>14</v>
      </c>
      <c r="B15" s="17" t="s">
        <v>6</v>
      </c>
      <c r="C15" s="17" t="s">
        <v>16</v>
      </c>
      <c r="D15" s="17" t="s">
        <v>17</v>
      </c>
      <c r="E15" s="17" t="s">
        <v>133</v>
      </c>
      <c r="F15" s="17" t="s">
        <v>10</v>
      </c>
      <c r="G15" s="17" t="str">
        <f>IF(C15="","",IFERROR(IF(INDEX(UnidadMedida!$B$1:$B$30,MATCH(C15,UnidadMedida!$A$1:$A$30,0))="","",INDEX(UnidadMedida!$B$1:$B$30,MATCH(C15,UnidadMedida!$A$1:$A$30,0))),""))</f>
        <v>km</v>
      </c>
      <c r="H15" s="17">
        <v>1</v>
      </c>
      <c r="I15" s="17"/>
      <c r="J15" s="17"/>
      <c r="K15" s="17"/>
      <c r="L15" s="17"/>
      <c r="M15" s="17"/>
      <c r="N15" s="17"/>
      <c r="O15" s="17"/>
      <c r="P15" s="17"/>
    </row>
    <row r="16" spans="1:16" x14ac:dyDescent="0.25">
      <c r="A16" s="17">
        <v>15</v>
      </c>
      <c r="B16" s="17" t="s">
        <v>6</v>
      </c>
      <c r="C16" s="17" t="s">
        <v>7</v>
      </c>
      <c r="D16" s="17" t="s">
        <v>8</v>
      </c>
      <c r="E16" s="17" t="s">
        <v>19</v>
      </c>
      <c r="F16" s="17" t="s">
        <v>10</v>
      </c>
      <c r="G16" s="17" t="str">
        <f>IF(C16="","",IFERROR(IF(INDEX(UnidadMedida!$B$1:$B$30,MATCH(C16,UnidadMedida!$A$1:$A$30,0))="","",INDEX(UnidadMedida!$B$1:$B$30,MATCH(C16,UnidadMedida!$A$1:$A$30,0))),""))</f>
        <v>m</v>
      </c>
      <c r="H16" s="17">
        <v>1</v>
      </c>
      <c r="I16" s="17"/>
      <c r="J16" s="17"/>
      <c r="K16" s="17"/>
      <c r="L16" s="17"/>
      <c r="M16" s="17"/>
      <c r="N16" s="17"/>
      <c r="O16" s="17"/>
      <c r="P16" s="17"/>
    </row>
    <row r="17" spans="1:16" x14ac:dyDescent="0.25">
      <c r="A17" s="17">
        <v>16</v>
      </c>
      <c r="B17" s="17" t="s">
        <v>6</v>
      </c>
      <c r="C17" s="17" t="s">
        <v>11</v>
      </c>
      <c r="D17" s="17" t="s">
        <v>12</v>
      </c>
      <c r="E17" s="17" t="s">
        <v>19</v>
      </c>
      <c r="F17" s="17" t="s">
        <v>10</v>
      </c>
      <c r="G17" s="17" t="str">
        <f>IF(C17="","",IFERROR(IF(INDEX(UnidadMedida!$B$1:$B$30,MATCH(C17,UnidadMedida!$A$1:$A$30,0))="","",INDEX(UnidadMedida!$B$1:$B$30,MATCH(C17,UnidadMedida!$A$1:$A$30,0))),""))</f>
        <v>m/s</v>
      </c>
      <c r="H17" s="17">
        <v>10</v>
      </c>
      <c r="I17" s="17"/>
      <c r="J17" s="17"/>
      <c r="K17" s="17"/>
      <c r="L17" s="17"/>
      <c r="M17" s="17"/>
      <c r="N17" s="17"/>
      <c r="O17" s="17"/>
      <c r="P17" s="17"/>
    </row>
    <row r="18" spans="1:16" x14ac:dyDescent="0.25">
      <c r="A18" s="17">
        <v>17</v>
      </c>
      <c r="B18" s="17" t="s">
        <v>6</v>
      </c>
      <c r="C18" s="17" t="s">
        <v>14</v>
      </c>
      <c r="D18" s="17" t="s">
        <v>15</v>
      </c>
      <c r="E18" s="17" t="s">
        <v>19</v>
      </c>
      <c r="F18" s="17" t="s">
        <v>10</v>
      </c>
      <c r="G18" s="17" t="str">
        <f>IF(C18="","",IFERROR(IF(INDEX(UnidadMedida!$B$1:$B$30,MATCH(C18,UnidadMedida!$A$1:$A$30,0))="","",INDEX(UnidadMedida!$B$1:$B$30,MATCH(C18,UnidadMedida!$A$1:$A$30,0))),""))</f>
        <v>m/s</v>
      </c>
      <c r="H18" s="17">
        <v>0.5</v>
      </c>
      <c r="I18" s="17"/>
      <c r="J18" s="17"/>
      <c r="K18" s="17"/>
      <c r="L18" s="17"/>
      <c r="M18" s="17"/>
      <c r="N18" s="17"/>
      <c r="O18" s="17"/>
      <c r="P18" s="17"/>
    </row>
    <row r="19" spans="1:16" x14ac:dyDescent="0.25">
      <c r="A19" s="17">
        <v>18</v>
      </c>
      <c r="B19" s="17" t="s">
        <v>6</v>
      </c>
      <c r="C19" s="17" t="s">
        <v>16</v>
      </c>
      <c r="D19" s="17" t="s">
        <v>17</v>
      </c>
      <c r="E19" s="17" t="s">
        <v>19</v>
      </c>
      <c r="F19" s="17" t="s">
        <v>10</v>
      </c>
      <c r="G19" s="17" t="str">
        <f>IF(C19="","",IFERROR(IF(INDEX(UnidadMedida!$B$1:$B$30,MATCH(C19,UnidadMedida!$A$1:$A$30,0))="","",INDEX(UnidadMedida!$B$1:$B$30,MATCH(C19,UnidadMedida!$A$1:$A$30,0))),""))</f>
        <v>km</v>
      </c>
      <c r="H19" s="17">
        <v>1</v>
      </c>
      <c r="I19" s="17"/>
      <c r="J19" s="17"/>
      <c r="K19" s="17"/>
      <c r="L19" s="17"/>
      <c r="M19" s="17"/>
      <c r="N19" s="17"/>
      <c r="O19" s="17"/>
      <c r="P19" s="17"/>
    </row>
    <row r="20" spans="1:16" x14ac:dyDescent="0.25">
      <c r="A20" s="17">
        <v>19</v>
      </c>
      <c r="B20" s="17" t="s">
        <v>6</v>
      </c>
      <c r="C20" s="17" t="s">
        <v>16</v>
      </c>
      <c r="D20" s="17" t="s">
        <v>17</v>
      </c>
      <c r="E20" s="17" t="s">
        <v>20</v>
      </c>
      <c r="F20" s="17" t="s">
        <v>10</v>
      </c>
      <c r="G20" s="17" t="str">
        <f>IF(C20="","",IFERROR(IF(INDEX(UnidadMedida!$B$1:$B$30,MATCH(C20,UnidadMedida!$A$1:$A$30,0))="","",INDEX(UnidadMedida!$B$1:$B$30,MATCH(C20,UnidadMedida!$A$1:$A$30,0))),""))</f>
        <v>km</v>
      </c>
      <c r="H20" s="17">
        <v>1</v>
      </c>
      <c r="I20" s="17"/>
      <c r="J20" s="17"/>
      <c r="K20" s="17"/>
      <c r="L20" s="17"/>
      <c r="M20" s="17"/>
      <c r="N20" s="17"/>
      <c r="O20" s="17"/>
      <c r="P20" s="17"/>
    </row>
    <row r="21" spans="1:16" x14ac:dyDescent="0.25">
      <c r="A21" s="17">
        <v>20</v>
      </c>
      <c r="B21" s="17" t="s">
        <v>6</v>
      </c>
      <c r="C21" s="17" t="s">
        <v>7</v>
      </c>
      <c r="D21" s="17" t="s">
        <v>8</v>
      </c>
      <c r="E21" s="17" t="s">
        <v>21</v>
      </c>
      <c r="F21" s="17" t="s">
        <v>22</v>
      </c>
      <c r="G21" s="17" t="str">
        <f>IF(C21="","",IFERROR(IF(INDEX(UnidadMedida!$B$1:$B$30,MATCH(C21,UnidadMedida!$A$1:$A$30,0))="","",INDEX(UnidadMedida!$B$1:$B$30,MATCH(C21,UnidadMedida!$A$1:$A$30,0))),""))</f>
        <v>m</v>
      </c>
      <c r="H21" s="17">
        <v>1.5</v>
      </c>
      <c r="I21" s="17"/>
      <c r="J21" s="17"/>
      <c r="K21" s="17"/>
      <c r="L21" s="17"/>
      <c r="M21" s="17"/>
      <c r="N21" s="17"/>
      <c r="O21" s="17"/>
      <c r="P21" s="17"/>
    </row>
    <row r="22" spans="1:16" x14ac:dyDescent="0.25">
      <c r="A22" s="17">
        <v>21</v>
      </c>
      <c r="B22" s="17" t="s">
        <v>6</v>
      </c>
      <c r="C22" s="17" t="s">
        <v>11</v>
      </c>
      <c r="D22" s="17" t="s">
        <v>12</v>
      </c>
      <c r="E22" s="17" t="s">
        <v>21</v>
      </c>
      <c r="F22" s="17" t="s">
        <v>22</v>
      </c>
      <c r="G22" s="17" t="str">
        <f>IF(C22="","",IFERROR(IF(INDEX(UnidadMedida!$B$1:$B$30,MATCH(C22,UnidadMedida!$A$1:$A$30,0))="","",INDEX(UnidadMedida!$B$1:$B$30,MATCH(C22,UnidadMedida!$A$1:$A$30,0))),""))</f>
        <v>m/s</v>
      </c>
      <c r="H22" s="17">
        <v>17</v>
      </c>
      <c r="I22" s="17"/>
      <c r="J22" s="17"/>
      <c r="K22" s="17"/>
      <c r="L22" s="17"/>
      <c r="M22" s="17"/>
      <c r="N22" s="17"/>
      <c r="O22" s="17"/>
      <c r="P22" s="17"/>
    </row>
    <row r="23" spans="1:16" x14ac:dyDescent="0.25">
      <c r="A23" s="17">
        <v>22</v>
      </c>
      <c r="B23" s="17" t="s">
        <v>6</v>
      </c>
      <c r="C23" s="17" t="s">
        <v>16</v>
      </c>
      <c r="D23" s="17" t="s">
        <v>17</v>
      </c>
      <c r="E23" s="17" t="s">
        <v>21</v>
      </c>
      <c r="F23" s="17" t="s">
        <v>22</v>
      </c>
      <c r="G23" s="17" t="str">
        <f>IF(C23="","",IFERROR(IF(INDEX(UnidadMedida!$B$1:$B$30,MATCH(C23,UnidadMedida!$A$1:$A$30,0))="","",INDEX(UnidadMedida!$B$1:$B$30,MATCH(C23,UnidadMedida!$A$1:$A$30,0))),""))</f>
        <v>km</v>
      </c>
      <c r="H23" s="17">
        <v>1</v>
      </c>
      <c r="I23" s="17"/>
      <c r="J23" s="17"/>
      <c r="K23" s="17"/>
      <c r="L23" s="17"/>
      <c r="M23" s="17"/>
      <c r="N23" s="17"/>
      <c r="O23" s="17"/>
      <c r="P23" s="17"/>
    </row>
    <row r="24" spans="1:16" x14ac:dyDescent="0.25">
      <c r="A24" s="17">
        <v>23</v>
      </c>
      <c r="B24" s="17" t="s">
        <v>6</v>
      </c>
      <c r="C24" s="17" t="s">
        <v>7</v>
      </c>
      <c r="D24" s="17" t="s">
        <v>8</v>
      </c>
      <c r="E24" s="17" t="s">
        <v>23</v>
      </c>
      <c r="F24" s="17" t="s">
        <v>22</v>
      </c>
      <c r="G24" s="17" t="str">
        <f>IF(C24="","",IFERROR(IF(INDEX(UnidadMedida!$B$1:$B$30,MATCH(C24,UnidadMedida!$A$1:$A$30,0))="","",INDEX(UnidadMedida!$B$1:$B$30,MATCH(C24,UnidadMedida!$A$1:$A$30,0))),""))</f>
        <v>m</v>
      </c>
      <c r="H24" s="17">
        <v>1.5</v>
      </c>
      <c r="I24" s="17"/>
      <c r="J24" s="17"/>
      <c r="K24" s="17"/>
      <c r="L24" s="17"/>
      <c r="M24" s="17"/>
      <c r="N24" s="17"/>
      <c r="O24" s="17"/>
      <c r="P24" s="17"/>
    </row>
    <row r="25" spans="1:16" x14ac:dyDescent="0.25">
      <c r="A25" s="17">
        <v>24</v>
      </c>
      <c r="B25" s="17" t="s">
        <v>6</v>
      </c>
      <c r="C25" s="17" t="s">
        <v>11</v>
      </c>
      <c r="D25" s="17" t="s">
        <v>12</v>
      </c>
      <c r="E25" s="17" t="s">
        <v>23</v>
      </c>
      <c r="F25" s="17" t="s">
        <v>22</v>
      </c>
      <c r="G25" s="17" t="str">
        <f>IF(C25="","",IFERROR(IF(INDEX(UnidadMedida!$B$1:$B$30,MATCH(C25,UnidadMedida!$A$1:$A$30,0))="","",INDEX(UnidadMedida!$B$1:$B$30,MATCH(C25,UnidadMedida!$A$1:$A$30,0))),""))</f>
        <v>m/s</v>
      </c>
      <c r="H25" s="17">
        <v>17</v>
      </c>
      <c r="I25" s="17"/>
      <c r="J25" s="17"/>
      <c r="K25" s="17"/>
      <c r="L25" s="17"/>
      <c r="M25" s="17"/>
      <c r="N25" s="17"/>
      <c r="O25" s="17"/>
      <c r="P25" s="17"/>
    </row>
    <row r="26" spans="1:16" x14ac:dyDescent="0.25">
      <c r="A26" s="17">
        <v>25</v>
      </c>
      <c r="B26" s="17" t="s">
        <v>6</v>
      </c>
      <c r="C26" s="17" t="s">
        <v>16</v>
      </c>
      <c r="D26" s="17" t="s">
        <v>17</v>
      </c>
      <c r="E26" s="17" t="s">
        <v>23</v>
      </c>
      <c r="F26" s="17" t="s">
        <v>22</v>
      </c>
      <c r="G26" s="17" t="str">
        <f>IF(C26="","",IFERROR(IF(INDEX(UnidadMedida!$B$1:$B$30,MATCH(C26,UnidadMedida!$A$1:$A$30,0))="","",INDEX(UnidadMedida!$B$1:$B$30,MATCH(C26,UnidadMedida!$A$1:$A$30,0))),""))</f>
        <v>km</v>
      </c>
      <c r="H26" s="17">
        <v>1</v>
      </c>
      <c r="I26" s="17"/>
      <c r="J26" s="17"/>
      <c r="K26" s="17"/>
      <c r="L26" s="17"/>
      <c r="M26" s="17"/>
      <c r="N26" s="17"/>
      <c r="O26" s="17"/>
      <c r="P26" s="17"/>
    </row>
    <row r="27" spans="1:16" x14ac:dyDescent="0.25">
      <c r="A27" s="17">
        <v>26</v>
      </c>
      <c r="B27" s="17" t="s">
        <v>6</v>
      </c>
      <c r="C27" s="17" t="s">
        <v>7</v>
      </c>
      <c r="D27" s="17" t="s">
        <v>8</v>
      </c>
      <c r="E27" s="17" t="s">
        <v>24</v>
      </c>
      <c r="F27" s="17" t="s">
        <v>22</v>
      </c>
      <c r="G27" s="17" t="str">
        <f>IF(C27="","",IFERROR(IF(INDEX(UnidadMedida!$B$1:$B$30,MATCH(C27,UnidadMedida!$A$1:$A$30,0))="","",INDEX(UnidadMedida!$B$1:$B$30,MATCH(C27,UnidadMedida!$A$1:$A$30,0))),""))</f>
        <v>m</v>
      </c>
      <c r="H27" s="17">
        <v>1.5</v>
      </c>
      <c r="I27" s="17"/>
      <c r="J27" s="17"/>
      <c r="K27" s="17"/>
      <c r="L27" s="17"/>
      <c r="M27" s="17"/>
      <c r="N27" s="17"/>
      <c r="O27" s="17"/>
      <c r="P27" s="17"/>
    </row>
    <row r="28" spans="1:16" x14ac:dyDescent="0.25">
      <c r="A28" s="17">
        <v>27</v>
      </c>
      <c r="B28" s="17" t="s">
        <v>6</v>
      </c>
      <c r="C28" s="17" t="s">
        <v>11</v>
      </c>
      <c r="D28" s="17" t="s">
        <v>12</v>
      </c>
      <c r="E28" s="17" t="s">
        <v>24</v>
      </c>
      <c r="F28" s="17" t="s">
        <v>22</v>
      </c>
      <c r="G28" s="17" t="str">
        <f>IF(C28="","",IFERROR(IF(INDEX(UnidadMedida!$B$1:$B$30,MATCH(C28,UnidadMedida!$A$1:$A$30,0))="","",INDEX(UnidadMedida!$B$1:$B$30,MATCH(C28,UnidadMedida!$A$1:$A$30,0))),""))</f>
        <v>m/s</v>
      </c>
      <c r="H28" s="17">
        <v>17</v>
      </c>
      <c r="I28" s="17"/>
      <c r="J28" s="17"/>
      <c r="K28" s="17"/>
      <c r="L28" s="17"/>
      <c r="M28" s="17"/>
      <c r="N28" s="17"/>
      <c r="O28" s="17"/>
      <c r="P28" s="17"/>
    </row>
    <row r="29" spans="1:16" x14ac:dyDescent="0.25">
      <c r="A29" s="17">
        <v>28</v>
      </c>
      <c r="B29" s="17" t="s">
        <v>6</v>
      </c>
      <c r="C29" s="17" t="s">
        <v>25</v>
      </c>
      <c r="D29" s="17" t="s">
        <v>8</v>
      </c>
      <c r="E29" s="17" t="s">
        <v>26</v>
      </c>
      <c r="F29" s="17" t="s">
        <v>10</v>
      </c>
      <c r="G29" s="17" t="str">
        <f>IF(C29="","",IFERROR(IF(INDEX(UnidadMedida!$B$1:$B$30,MATCH(C29,UnidadMedida!$A$1:$A$30,0))="","",INDEX(UnidadMedida!$B$1:$B$30,MATCH(C29,UnidadMedida!$A$1:$A$30,0))),""))</f>
        <v>m/s/m</v>
      </c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5">
      <c r="A30" s="17">
        <v>29</v>
      </c>
      <c r="B30" s="17" t="s">
        <v>6</v>
      </c>
      <c r="C30" s="17" t="s">
        <v>27</v>
      </c>
      <c r="D30" s="17" t="s">
        <v>111</v>
      </c>
      <c r="E30" s="17" t="s">
        <v>26</v>
      </c>
      <c r="F30" s="17" t="s">
        <v>10</v>
      </c>
      <c r="G30" s="17" t="str">
        <f>IF(C30="","",IFERROR(IF(INDEX(UnidadMedida!$B$1:$B$30,MATCH(C30,UnidadMedida!$A$1:$A$30,0))="","",INDEX(UnidadMedida!$B$1:$B$30,MATCH(C30,UnidadMedida!$A$1:$A$30,0))),""))</f>
        <v/>
      </c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5">
      <c r="A31" s="17">
        <v>30</v>
      </c>
      <c r="B31" s="17" t="s">
        <v>6</v>
      </c>
      <c r="C31" s="17" t="s">
        <v>28</v>
      </c>
      <c r="D31" s="17" t="s">
        <v>111</v>
      </c>
      <c r="E31" s="17" t="s">
        <v>26</v>
      </c>
      <c r="F31" s="17" t="s">
        <v>10</v>
      </c>
      <c r="G31" s="17" t="str">
        <f>IF(C31="","",IFERROR(IF(INDEX(UnidadMedida!$B$1:$B$30,MATCH(C31,UnidadMedida!$A$1:$A$30,0))="","",INDEX(UnidadMedida!$B$1:$B$30,MATCH(C31,UnidadMedida!$A$1:$A$30,0))),""))</f>
        <v/>
      </c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5">
      <c r="A32" s="17">
        <v>31</v>
      </c>
      <c r="B32" s="17" t="s">
        <v>6</v>
      </c>
      <c r="C32" s="17" t="s">
        <v>30</v>
      </c>
      <c r="D32" s="17" t="s">
        <v>111</v>
      </c>
      <c r="E32" s="17" t="s">
        <v>26</v>
      </c>
      <c r="F32" s="17" t="s">
        <v>10</v>
      </c>
      <c r="G32" s="17" t="str">
        <f>IF(C32="","",IFERROR(IF(INDEX(UnidadMedida!$B$1:$B$30,MATCH(C32,UnidadMedida!$A$1:$A$30,0))="","",INDEX(UnidadMedida!$B$1:$B$30,MATCH(C32,UnidadMedida!$A$1:$A$30,0))),""))</f>
        <v/>
      </c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5">
      <c r="A33" s="17">
        <v>32</v>
      </c>
      <c r="B33" s="17" t="s">
        <v>6</v>
      </c>
      <c r="C33" s="17" t="s">
        <v>25</v>
      </c>
      <c r="D33" s="17" t="s">
        <v>8</v>
      </c>
      <c r="E33" s="17" t="s">
        <v>31</v>
      </c>
      <c r="F33" s="17" t="s">
        <v>10</v>
      </c>
      <c r="G33" s="17" t="str">
        <f>IF(C33="","",IFERROR(IF(INDEX(UnidadMedida!$B$1:$B$30,MATCH(C33,UnidadMedida!$A$1:$A$30,0))="","",INDEX(UnidadMedida!$B$1:$B$30,MATCH(C33,UnidadMedida!$A$1:$A$30,0))),""))</f>
        <v>m/s/m</v>
      </c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5">
      <c r="A34" s="17">
        <v>33</v>
      </c>
      <c r="B34" s="17" t="s">
        <v>6</v>
      </c>
      <c r="C34" s="17" t="s">
        <v>32</v>
      </c>
      <c r="D34" s="17" t="s">
        <v>111</v>
      </c>
      <c r="E34" s="17" t="s">
        <v>31</v>
      </c>
      <c r="F34" s="17" t="s">
        <v>10</v>
      </c>
      <c r="G34" s="17" t="str">
        <f>IF(C34="","",IFERROR(IF(INDEX(UnidadMedida!$B$1:$B$30,MATCH(C34,UnidadMedida!$A$1:$A$30,0))="","",INDEX(UnidadMedida!$B$1:$B$30,MATCH(C34,UnidadMedida!$A$1:$A$30,0))),""))</f>
        <v/>
      </c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5">
      <c r="A35" s="17">
        <v>34</v>
      </c>
      <c r="B35" s="17" t="s">
        <v>6</v>
      </c>
      <c r="C35" s="17" t="s">
        <v>33</v>
      </c>
      <c r="D35" s="17" t="s">
        <v>111</v>
      </c>
      <c r="E35" s="17" t="s">
        <v>31</v>
      </c>
      <c r="F35" s="17" t="s">
        <v>10</v>
      </c>
      <c r="G35" s="17" t="str">
        <f>IF(C35="","",IFERROR(IF(INDEX(UnidadMedida!$B$1:$B$30,MATCH(C35,UnidadMedida!$A$1:$A$30,0))="","",INDEX(UnidadMedida!$B$1:$B$30,MATCH(C35,UnidadMedida!$A$1:$A$30,0))),""))</f>
        <v/>
      </c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5">
      <c r="A36" s="17">
        <v>35</v>
      </c>
      <c r="B36" s="17" t="s">
        <v>6</v>
      </c>
      <c r="C36" s="17" t="s">
        <v>30</v>
      </c>
      <c r="D36" s="17" t="s">
        <v>111</v>
      </c>
      <c r="E36" s="17" t="s">
        <v>31</v>
      </c>
      <c r="F36" s="17" t="s">
        <v>10</v>
      </c>
      <c r="G36" s="17" t="str">
        <f>IF(C36="","",IFERROR(IF(INDEX(UnidadMedida!$B$1:$B$30,MATCH(C36,UnidadMedida!$A$1:$A$30,0))="","",INDEX(UnidadMedida!$B$1:$B$30,MATCH(C36,UnidadMedida!$A$1:$A$30,0))),""))</f>
        <v/>
      </c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5">
      <c r="A37" s="17">
        <v>36</v>
      </c>
      <c r="B37" s="17" t="s">
        <v>6</v>
      </c>
      <c r="C37" s="17" t="s">
        <v>34</v>
      </c>
      <c r="D37" s="17" t="s">
        <v>29</v>
      </c>
      <c r="E37" s="17" t="s">
        <v>35</v>
      </c>
      <c r="F37" s="17" t="s">
        <v>10</v>
      </c>
      <c r="G37" s="17" t="str">
        <f>IF(C37="","",IFERROR(IF(INDEX(UnidadMedida!$B$1:$B$30,MATCH(C37,UnidadMedida!$A$1:$A$30,0))="","",INDEX(UnidadMedida!$B$1:$B$30,MATCH(C37,UnidadMedida!$A$1:$A$30,0))),""))</f>
        <v>m</v>
      </c>
      <c r="H37" s="17">
        <v>0.5</v>
      </c>
      <c r="I37" s="17"/>
      <c r="J37" s="17"/>
      <c r="K37" s="17"/>
      <c r="L37" s="17"/>
      <c r="M37" s="17"/>
      <c r="N37" s="17"/>
      <c r="O37" s="17"/>
      <c r="P37" s="17"/>
    </row>
    <row r="38" spans="1:16" x14ac:dyDescent="0.25">
      <c r="A38" s="17">
        <v>37</v>
      </c>
      <c r="B38" s="17" t="s">
        <v>6</v>
      </c>
      <c r="C38" s="17" t="s">
        <v>7</v>
      </c>
      <c r="D38" s="17" t="s">
        <v>8</v>
      </c>
      <c r="E38" s="17" t="s">
        <v>35</v>
      </c>
      <c r="F38" s="17" t="s">
        <v>10</v>
      </c>
      <c r="G38" s="17" t="str">
        <f>IF(C38="","",IFERROR(IF(INDEX(UnidadMedida!$B$1:$B$30,MATCH(C38,UnidadMedida!$A$1:$A$30,0))="","",INDEX(UnidadMedida!$B$1:$B$30,MATCH(C38,UnidadMedida!$A$1:$A$30,0))),""))</f>
        <v>m</v>
      </c>
      <c r="H38" s="17">
        <v>1.5</v>
      </c>
      <c r="I38" s="17">
        <v>1.5</v>
      </c>
      <c r="J38" s="17">
        <v>1.5</v>
      </c>
      <c r="K38" s="17"/>
      <c r="L38" s="17">
        <v>0.3</v>
      </c>
      <c r="M38" s="17">
        <v>0.3</v>
      </c>
      <c r="N38" s="17">
        <v>0.4</v>
      </c>
      <c r="O38" s="17">
        <v>0.4</v>
      </c>
      <c r="P38" s="17"/>
    </row>
    <row r="39" spans="1:16" x14ac:dyDescent="0.25">
      <c r="A39" s="17">
        <v>38</v>
      </c>
      <c r="B39" s="17" t="s">
        <v>6</v>
      </c>
      <c r="C39" s="17" t="s">
        <v>36</v>
      </c>
      <c r="D39" s="17" t="s">
        <v>29</v>
      </c>
      <c r="E39" s="17" t="s">
        <v>35</v>
      </c>
      <c r="F39" s="17" t="s">
        <v>10</v>
      </c>
      <c r="G39" s="17" t="str">
        <f>IF(C39="","",IFERROR(IF(INDEX(UnidadMedida!$B$1:$B$30,MATCH(C39,UnidadMedida!$A$1:$A$30,0))="","",INDEX(UnidadMedida!$B$1:$B$30,MATCH(C39,UnidadMedida!$A$1:$A$30,0))),""))</f>
        <v>m</v>
      </c>
      <c r="H39" s="17" t="s">
        <v>122</v>
      </c>
      <c r="I39" s="17"/>
      <c r="J39" s="17"/>
      <c r="K39" s="17"/>
      <c r="L39" s="17"/>
      <c r="M39" s="17"/>
      <c r="N39" s="17"/>
      <c r="O39" s="17"/>
      <c r="P39" s="17"/>
    </row>
    <row r="40" spans="1:16" x14ac:dyDescent="0.25">
      <c r="A40" s="17">
        <v>39</v>
      </c>
      <c r="B40" s="17" t="s">
        <v>6</v>
      </c>
      <c r="C40" s="17" t="s">
        <v>34</v>
      </c>
      <c r="D40" s="17" t="s">
        <v>29</v>
      </c>
      <c r="E40" s="17" t="s">
        <v>37</v>
      </c>
      <c r="F40" s="17" t="s">
        <v>10</v>
      </c>
      <c r="G40" s="17" t="str">
        <f>IF(C40="","",IFERROR(IF(INDEX(UnidadMedida!$B$1:$B$30,MATCH(C40,UnidadMedida!$A$1:$A$30,0))="","",INDEX(UnidadMedida!$B$1:$B$30,MATCH(C40,UnidadMedida!$A$1:$A$30,0))),""))</f>
        <v>m</v>
      </c>
      <c r="H40" s="17">
        <v>0.5</v>
      </c>
      <c r="I40" s="17"/>
      <c r="J40" s="17"/>
      <c r="K40" s="17"/>
      <c r="L40" s="17"/>
      <c r="M40" s="17"/>
      <c r="N40" s="17"/>
      <c r="O40" s="17"/>
      <c r="P40" s="17"/>
    </row>
    <row r="41" spans="1:16" x14ac:dyDescent="0.25">
      <c r="A41" s="17">
        <v>40</v>
      </c>
      <c r="B41" s="17" t="s">
        <v>6</v>
      </c>
      <c r="C41" s="17" t="s">
        <v>7</v>
      </c>
      <c r="D41" s="17" t="s">
        <v>8</v>
      </c>
      <c r="E41" s="17" t="s">
        <v>37</v>
      </c>
      <c r="F41" s="17" t="s">
        <v>10</v>
      </c>
      <c r="G41" s="17" t="str">
        <f>IF(C41="","",IFERROR(IF(INDEX(UnidadMedida!$B$1:$B$30,MATCH(C41,UnidadMedida!$A$1:$A$30,0))="","",INDEX(UnidadMedida!$B$1:$B$30,MATCH(C41,UnidadMedida!$A$1:$A$30,0))),""))</f>
        <v>m</v>
      </c>
      <c r="H41" s="17">
        <v>1.5</v>
      </c>
      <c r="I41" s="17">
        <v>1.5</v>
      </c>
      <c r="J41" s="17">
        <v>1.5</v>
      </c>
      <c r="K41" s="17"/>
      <c r="L41" s="17">
        <v>0.3</v>
      </c>
      <c r="M41" s="17">
        <v>0.3</v>
      </c>
      <c r="N41" s="17">
        <v>0.4</v>
      </c>
      <c r="O41" s="17">
        <v>0.4</v>
      </c>
      <c r="P41" s="17"/>
    </row>
    <row r="42" spans="1:16" x14ac:dyDescent="0.25">
      <c r="A42" s="17">
        <v>41</v>
      </c>
      <c r="B42" s="17" t="s">
        <v>6</v>
      </c>
      <c r="C42" s="17" t="s">
        <v>36</v>
      </c>
      <c r="D42" s="17" t="s">
        <v>29</v>
      </c>
      <c r="E42" s="17" t="s">
        <v>37</v>
      </c>
      <c r="F42" s="17" t="s">
        <v>10</v>
      </c>
      <c r="G42" s="17" t="str">
        <f>IF(C42="","",IFERROR(IF(INDEX(UnidadMedida!$B$1:$B$30,MATCH(C42,UnidadMedida!$A$1:$A$30,0))="","",INDEX(UnidadMedida!$B$1:$B$30,MATCH(C42,UnidadMedida!$A$1:$A$30,0))),""))</f>
        <v>m</v>
      </c>
      <c r="H42" s="17" t="s">
        <v>122</v>
      </c>
      <c r="I42" s="17"/>
      <c r="J42" s="17"/>
      <c r="K42" s="17"/>
      <c r="L42" s="17"/>
      <c r="M42" s="17"/>
      <c r="N42" s="17"/>
      <c r="O42" s="17"/>
      <c r="P42" s="17"/>
    </row>
    <row r="43" spans="1:16" x14ac:dyDescent="0.25">
      <c r="A43" s="17">
        <v>42</v>
      </c>
      <c r="B43" s="17" t="s">
        <v>6</v>
      </c>
      <c r="C43" s="17" t="s">
        <v>34</v>
      </c>
      <c r="D43" s="17" t="s">
        <v>29</v>
      </c>
      <c r="E43" s="17" t="s">
        <v>38</v>
      </c>
      <c r="F43" s="17" t="s">
        <v>10</v>
      </c>
      <c r="G43" s="17" t="str">
        <f>IF(C43="","",IFERROR(IF(INDEX(UnidadMedida!$B$1:$B$30,MATCH(C43,UnidadMedida!$A$1:$A$30,0))="","",INDEX(UnidadMedida!$B$1:$B$30,MATCH(C43,UnidadMedida!$A$1:$A$30,0))),""))</f>
        <v>m</v>
      </c>
      <c r="H43" s="17">
        <v>0.5</v>
      </c>
      <c r="I43" s="17"/>
      <c r="J43" s="17"/>
      <c r="K43" s="17"/>
      <c r="L43" s="17"/>
      <c r="M43" s="17"/>
      <c r="N43" s="17"/>
      <c r="O43" s="17"/>
      <c r="P43" s="17"/>
    </row>
    <row r="44" spans="1:16" x14ac:dyDescent="0.25">
      <c r="A44" s="17">
        <v>43</v>
      </c>
      <c r="B44" s="17" t="s">
        <v>6</v>
      </c>
      <c r="C44" s="17" t="s">
        <v>7</v>
      </c>
      <c r="D44" s="17" t="s">
        <v>8</v>
      </c>
      <c r="E44" s="17" t="s">
        <v>38</v>
      </c>
      <c r="F44" s="17" t="s">
        <v>10</v>
      </c>
      <c r="G44" s="17" t="str">
        <f>IF(C44="","",IFERROR(IF(INDEX(UnidadMedida!$B$1:$B$30,MATCH(C44,UnidadMedida!$A$1:$A$30,0))="","",INDEX(UnidadMedida!$B$1:$B$30,MATCH(C44,UnidadMedida!$A$1:$A$30,0))),""))</f>
        <v>m</v>
      </c>
      <c r="H44" s="17">
        <v>1.5</v>
      </c>
      <c r="I44" s="17">
        <v>1.5</v>
      </c>
      <c r="J44" s="17">
        <v>1.5</v>
      </c>
      <c r="K44" s="17"/>
      <c r="L44" s="17">
        <v>0.3</v>
      </c>
      <c r="M44" s="17">
        <v>0.3</v>
      </c>
      <c r="N44" s="17">
        <v>0.4</v>
      </c>
      <c r="O44" s="17">
        <v>0.4</v>
      </c>
      <c r="P44" s="17"/>
    </row>
    <row r="45" spans="1:16" x14ac:dyDescent="0.25">
      <c r="A45" s="17">
        <v>44</v>
      </c>
      <c r="B45" s="17" t="s">
        <v>6</v>
      </c>
      <c r="C45" s="17" t="s">
        <v>36</v>
      </c>
      <c r="D45" s="17" t="s">
        <v>29</v>
      </c>
      <c r="E45" s="17" t="s">
        <v>38</v>
      </c>
      <c r="F45" s="17" t="s">
        <v>10</v>
      </c>
      <c r="G45" s="17" t="str">
        <f>IF(C45="","",IFERROR(IF(INDEX(UnidadMedida!$B$1:$B$30,MATCH(C45,UnidadMedida!$A$1:$A$30,0))="","",INDEX(UnidadMedida!$B$1:$B$30,MATCH(C45,UnidadMedida!$A$1:$A$30,0))),""))</f>
        <v>m</v>
      </c>
      <c r="H45" s="17" t="s">
        <v>122</v>
      </c>
      <c r="I45" s="17"/>
      <c r="J45" s="17"/>
      <c r="K45" s="17"/>
      <c r="L45" s="17"/>
      <c r="M45" s="17"/>
      <c r="N45" s="17"/>
      <c r="O45" s="17"/>
      <c r="P45" s="17"/>
    </row>
    <row r="46" spans="1:16" x14ac:dyDescent="0.25">
      <c r="A46" s="17">
        <v>45</v>
      </c>
      <c r="B46" s="17" t="s">
        <v>6</v>
      </c>
      <c r="C46" s="17" t="s">
        <v>7</v>
      </c>
      <c r="D46" s="17" t="s">
        <v>8</v>
      </c>
      <c r="E46" s="17" t="s">
        <v>39</v>
      </c>
      <c r="F46" s="17" t="s">
        <v>10</v>
      </c>
      <c r="G46" s="17" t="str">
        <f>IF(C46="","",IFERROR(IF(INDEX(UnidadMedida!$B$1:$B$30,MATCH(C46,UnidadMedida!$A$1:$A$30,0))="","",INDEX(UnidadMedida!$B$1:$B$30,MATCH(C46,UnidadMedida!$A$1:$A$30,0))),""))</f>
        <v>m</v>
      </c>
      <c r="H46" s="17">
        <v>1.5</v>
      </c>
      <c r="I46" s="17">
        <v>1.5</v>
      </c>
      <c r="J46" s="17">
        <v>1.5</v>
      </c>
      <c r="K46" s="17"/>
      <c r="L46" s="17">
        <v>0.3</v>
      </c>
      <c r="M46" s="17">
        <v>0.3</v>
      </c>
      <c r="N46" s="17">
        <v>0.4</v>
      </c>
      <c r="O46" s="17">
        <v>0.4</v>
      </c>
      <c r="P46" s="17"/>
    </row>
    <row r="47" spans="1:16" x14ac:dyDescent="0.25">
      <c r="A47" s="17">
        <v>46</v>
      </c>
      <c r="B47" s="17" t="s">
        <v>6</v>
      </c>
      <c r="C47" s="17" t="s">
        <v>36</v>
      </c>
      <c r="D47" s="17" t="s">
        <v>29</v>
      </c>
      <c r="E47" s="17" t="s">
        <v>39</v>
      </c>
      <c r="F47" s="17" t="s">
        <v>10</v>
      </c>
      <c r="G47" s="17" t="str">
        <f>IF(C47="","",IFERROR(IF(INDEX(UnidadMedida!$B$1:$B$30,MATCH(C47,UnidadMedida!$A$1:$A$30,0))="","",INDEX(UnidadMedida!$B$1:$B$30,MATCH(C47,UnidadMedida!$A$1:$A$30,0))),""))</f>
        <v>m</v>
      </c>
      <c r="H47" s="17" t="s">
        <v>122</v>
      </c>
      <c r="I47" s="17"/>
      <c r="J47" s="17"/>
      <c r="K47" s="17"/>
      <c r="L47" s="17"/>
      <c r="M47" s="17"/>
      <c r="N47" s="17"/>
      <c r="O47" s="17"/>
      <c r="P47" s="17"/>
    </row>
    <row r="48" spans="1:16" x14ac:dyDescent="0.25">
      <c r="A48" s="17">
        <v>47</v>
      </c>
      <c r="B48" s="17" t="s">
        <v>6</v>
      </c>
      <c r="C48" s="17" t="s">
        <v>34</v>
      </c>
      <c r="D48" s="17" t="s">
        <v>29</v>
      </c>
      <c r="E48" s="17" t="s">
        <v>40</v>
      </c>
      <c r="F48" s="17" t="s">
        <v>10</v>
      </c>
      <c r="G48" s="17" t="str">
        <f>IF(C48="","",IFERROR(IF(INDEX(UnidadMedida!$B$1:$B$30,MATCH(C48,UnidadMedida!$A$1:$A$30,0))="","",INDEX(UnidadMedida!$B$1:$B$30,MATCH(C48,UnidadMedida!$A$1:$A$30,0))),""))</f>
        <v>m</v>
      </c>
      <c r="H48" s="17">
        <v>0.5</v>
      </c>
      <c r="I48" s="17"/>
      <c r="J48" s="17"/>
      <c r="K48" s="17"/>
      <c r="L48" s="17"/>
      <c r="M48" s="17"/>
      <c r="N48" s="17"/>
      <c r="O48" s="17"/>
      <c r="P48" s="17"/>
    </row>
    <row r="49" spans="1:16" x14ac:dyDescent="0.25">
      <c r="A49" s="17">
        <v>48</v>
      </c>
      <c r="B49" s="17" t="s">
        <v>6</v>
      </c>
      <c r="C49" s="17" t="s">
        <v>7</v>
      </c>
      <c r="D49" s="17" t="s">
        <v>8</v>
      </c>
      <c r="E49" s="17" t="s">
        <v>40</v>
      </c>
      <c r="F49" s="17" t="s">
        <v>10</v>
      </c>
      <c r="G49" s="17" t="str">
        <f>IF(C49="","",IFERROR(IF(INDEX(UnidadMedida!$B$1:$B$30,MATCH(C49,UnidadMedida!$A$1:$A$30,0))="","",INDEX(UnidadMedida!$B$1:$B$30,MATCH(C49,UnidadMedida!$A$1:$A$30,0))),""))</f>
        <v>m</v>
      </c>
      <c r="H49" s="17">
        <v>1.5</v>
      </c>
      <c r="I49" s="17">
        <v>1.5</v>
      </c>
      <c r="J49" s="17">
        <v>1.5</v>
      </c>
      <c r="K49" s="17"/>
      <c r="L49" s="17">
        <v>0.3</v>
      </c>
      <c r="M49" s="17">
        <v>0.3</v>
      </c>
      <c r="N49" s="17">
        <v>0.4</v>
      </c>
      <c r="O49" s="17">
        <v>0.4</v>
      </c>
      <c r="P49" s="17"/>
    </row>
    <row r="50" spans="1:16" x14ac:dyDescent="0.25">
      <c r="A50" s="17">
        <v>49</v>
      </c>
      <c r="B50" s="17" t="s">
        <v>6</v>
      </c>
      <c r="C50" s="17" t="s">
        <v>36</v>
      </c>
      <c r="D50" s="17" t="s">
        <v>29</v>
      </c>
      <c r="E50" s="17" t="s">
        <v>40</v>
      </c>
      <c r="F50" s="17" t="s">
        <v>10</v>
      </c>
      <c r="G50" s="17" t="str">
        <f>IF(C50="","",IFERROR(IF(INDEX(UnidadMedida!$B$1:$B$30,MATCH(C50,UnidadMedida!$A$1:$A$30,0))="","",INDEX(UnidadMedida!$B$1:$B$30,MATCH(C50,UnidadMedida!$A$1:$A$30,0))),""))</f>
        <v>m</v>
      </c>
      <c r="H50" s="17" t="s">
        <v>122</v>
      </c>
      <c r="I50" s="17"/>
      <c r="J50" s="17"/>
      <c r="K50" s="17"/>
      <c r="L50" s="17"/>
      <c r="M50" s="17"/>
      <c r="N50" s="17"/>
      <c r="O50" s="17"/>
      <c r="P50" s="17"/>
    </row>
    <row r="51" spans="1:16" x14ac:dyDescent="0.25">
      <c r="A51" s="17">
        <v>50</v>
      </c>
      <c r="B51" s="17" t="s">
        <v>6</v>
      </c>
      <c r="C51" s="17" t="s">
        <v>41</v>
      </c>
      <c r="D51" s="17" t="s">
        <v>112</v>
      </c>
      <c r="E51" s="17" t="s">
        <v>42</v>
      </c>
      <c r="F51" s="17" t="s">
        <v>22</v>
      </c>
      <c r="G51" s="17" t="str">
        <f>IF(C51="","",IFERROR(IF(INDEX(UnidadMedida!$B$1:$B$30,MATCH(C51,UnidadMedida!$A$1:$A$30,0))="","",INDEX(UnidadMedida!$B$1:$B$30,MATCH(C51,UnidadMedida!$A$1:$A$30,0))),""))</f>
        <v/>
      </c>
      <c r="H51" s="17"/>
      <c r="I51" s="17"/>
      <c r="J51" s="17"/>
      <c r="K51" s="17"/>
      <c r="L51" s="17"/>
      <c r="M51" s="17"/>
      <c r="N51" s="17"/>
      <c r="O51" s="17"/>
      <c r="P51" s="17"/>
    </row>
    <row r="52" spans="1:16" x14ac:dyDescent="0.25">
      <c r="A52" s="17">
        <v>51</v>
      </c>
      <c r="B52" s="17" t="s">
        <v>6</v>
      </c>
      <c r="C52" s="17" t="s">
        <v>44</v>
      </c>
      <c r="D52" s="17" t="s">
        <v>44</v>
      </c>
      <c r="E52" s="17" t="s">
        <v>45</v>
      </c>
      <c r="F52" s="17" t="s">
        <v>10</v>
      </c>
      <c r="G52" s="17" t="str">
        <f>IF(C52="","",IFERROR(IF(INDEX(UnidadMedida!$B$1:$B$30,MATCH(C52,UnidadMedida!$A$1:$A$30,0))="","",INDEX(UnidadMedida!$B$1:$B$30,MATCH(C52,UnidadMedida!$A$1:$A$30,0))),""))</f>
        <v/>
      </c>
      <c r="H52" s="17"/>
      <c r="I52" s="17"/>
      <c r="J52" s="17"/>
      <c r="K52" s="17"/>
      <c r="L52" s="17"/>
      <c r="M52" s="17"/>
      <c r="N52" s="17"/>
      <c r="O52" s="17"/>
      <c r="P52" s="17"/>
    </row>
    <row r="53" spans="1:16" x14ac:dyDescent="0.25">
      <c r="A53" s="17">
        <v>52</v>
      </c>
      <c r="B53" s="17" t="s">
        <v>6</v>
      </c>
      <c r="C53" s="17" t="s">
        <v>44</v>
      </c>
      <c r="D53" s="17" t="s">
        <v>44</v>
      </c>
      <c r="E53" s="17" t="s">
        <v>46</v>
      </c>
      <c r="F53" s="17" t="s">
        <v>10</v>
      </c>
      <c r="G53" s="17" t="str">
        <f>IF(C53="","",IFERROR(IF(INDEX(UnidadMedida!$B$1:$B$30,MATCH(C53,UnidadMedida!$A$1:$A$30,0))="","",INDEX(UnidadMedida!$B$1:$B$30,MATCH(C53,UnidadMedida!$A$1:$A$30,0))),""))</f>
        <v/>
      </c>
      <c r="H53" s="17"/>
      <c r="I53" s="17"/>
      <c r="J53" s="17"/>
      <c r="K53" s="17"/>
      <c r="L53" s="17"/>
      <c r="M53" s="17"/>
      <c r="N53" s="17"/>
      <c r="O53" s="17"/>
      <c r="P53" s="17"/>
    </row>
    <row r="54" spans="1:16" x14ac:dyDescent="0.25">
      <c r="A54" s="17">
        <v>53</v>
      </c>
      <c r="B54" s="17" t="s">
        <v>6</v>
      </c>
      <c r="C54" s="17" t="s">
        <v>43</v>
      </c>
      <c r="D54" s="17" t="s">
        <v>44</v>
      </c>
      <c r="E54" s="17" t="s">
        <v>47</v>
      </c>
      <c r="F54" s="17" t="s">
        <v>10</v>
      </c>
      <c r="G54" s="17" t="str">
        <f>IF(C54="","",IFERROR(IF(INDEX(UnidadMedida!$B$1:$B$30,MATCH(C54,UnidadMedida!$A$1:$A$30,0))="","",INDEX(UnidadMedida!$B$1:$B$30,MATCH(C54,UnidadMedida!$A$1:$A$30,0))),""))</f>
        <v>m</v>
      </c>
      <c r="H54" s="17"/>
      <c r="I54" s="17"/>
      <c r="J54" s="17"/>
      <c r="K54" s="17"/>
      <c r="L54" s="17"/>
      <c r="M54" s="17"/>
      <c r="N54" s="17"/>
      <c r="O54" s="17"/>
      <c r="P54" s="17"/>
    </row>
    <row r="55" spans="1:16" x14ac:dyDescent="0.25">
      <c r="A55" s="17">
        <v>54</v>
      </c>
      <c r="B55" s="17" t="s">
        <v>6</v>
      </c>
      <c r="C55" s="17" t="s">
        <v>44</v>
      </c>
      <c r="D55" s="17" t="s">
        <v>44</v>
      </c>
      <c r="E55" s="17" t="s">
        <v>48</v>
      </c>
      <c r="F55" s="17" t="s">
        <v>10</v>
      </c>
      <c r="G55" s="17" t="str">
        <f>IF(C55="","",IFERROR(IF(INDEX(UnidadMedida!$B$1:$B$30,MATCH(C55,UnidadMedida!$A$1:$A$30,0))="","",INDEX(UnidadMedida!$B$1:$B$30,MATCH(C55,UnidadMedida!$A$1:$A$30,0))),""))</f>
        <v/>
      </c>
      <c r="H55" s="17"/>
      <c r="I55" s="17"/>
      <c r="J55" s="17"/>
      <c r="K55" s="17"/>
      <c r="L55" s="17"/>
      <c r="M55" s="17"/>
      <c r="N55" s="17"/>
      <c r="O55" s="17"/>
      <c r="P55" s="17"/>
    </row>
    <row r="56" spans="1:16" x14ac:dyDescent="0.25">
      <c r="A56" s="17">
        <v>55</v>
      </c>
      <c r="B56" s="17" t="s">
        <v>6</v>
      </c>
      <c r="C56" s="17" t="s">
        <v>43</v>
      </c>
      <c r="D56" s="17" t="s">
        <v>44</v>
      </c>
      <c r="E56" s="17" t="s">
        <v>49</v>
      </c>
      <c r="F56" s="17" t="s">
        <v>10</v>
      </c>
      <c r="G56" s="17" t="str">
        <f>IF(C56="","",IFERROR(IF(INDEX(UnidadMedida!$B$1:$B$30,MATCH(C56,UnidadMedida!$A$1:$A$30,0))="","",INDEX(UnidadMedida!$B$1:$B$30,MATCH(C56,UnidadMedida!$A$1:$A$30,0))),""))</f>
        <v>m</v>
      </c>
      <c r="H56" s="17"/>
      <c r="I56" s="17"/>
      <c r="J56" s="17"/>
      <c r="K56" s="17"/>
      <c r="L56" s="17"/>
      <c r="M56" s="17"/>
      <c r="N56" s="17"/>
      <c r="O56" s="17"/>
      <c r="P56" s="17"/>
    </row>
    <row r="57" spans="1:16" x14ac:dyDescent="0.25">
      <c r="A57" s="17">
        <v>56</v>
      </c>
      <c r="B57" s="17" t="s">
        <v>6</v>
      </c>
      <c r="C57" s="17" t="s">
        <v>43</v>
      </c>
      <c r="D57" s="17" t="s">
        <v>134</v>
      </c>
      <c r="E57" s="17" t="s">
        <v>50</v>
      </c>
      <c r="F57" s="17" t="s">
        <v>10</v>
      </c>
      <c r="G57" s="17" t="str">
        <f>IF(C57="","",IFERROR(IF(INDEX(UnidadMedida!$B$1:$B$30,MATCH(C57,UnidadMedida!$A$1:$A$30,0))="","",INDEX(UnidadMedida!$B$1:$B$30,MATCH(C57,UnidadMedida!$A$1:$A$30,0))),""))</f>
        <v>m</v>
      </c>
      <c r="H57" s="17"/>
      <c r="I57" s="17"/>
      <c r="J57" s="17"/>
      <c r="K57" s="17"/>
      <c r="L57" s="17"/>
      <c r="M57" s="17"/>
      <c r="N57" s="17"/>
      <c r="O57" s="17"/>
      <c r="P57" s="17"/>
    </row>
    <row r="58" spans="1:16" x14ac:dyDescent="0.25">
      <c r="A58" s="17">
        <v>57</v>
      </c>
      <c r="B58" s="17" t="s">
        <v>6</v>
      </c>
      <c r="C58" s="17" t="s">
        <v>43</v>
      </c>
      <c r="D58" s="17" t="s">
        <v>44</v>
      </c>
      <c r="E58" s="17" t="s">
        <v>51</v>
      </c>
      <c r="F58" s="17" t="s">
        <v>10</v>
      </c>
      <c r="G58" s="17" t="str">
        <f>IF(C58="","",IFERROR(IF(INDEX(UnidadMedida!$B$1:$B$30,MATCH(C58,UnidadMedida!$A$1:$A$30,0))="","",INDEX(UnidadMedida!$B$1:$B$30,MATCH(C58,UnidadMedida!$A$1:$A$30,0))),""))</f>
        <v>m</v>
      </c>
      <c r="H58" s="17"/>
      <c r="I58" s="17"/>
      <c r="J58" s="17"/>
      <c r="K58" s="17"/>
      <c r="L58" s="17"/>
      <c r="M58" s="17"/>
      <c r="N58" s="17"/>
      <c r="O58" s="17"/>
      <c r="P58" s="17"/>
    </row>
    <row r="59" spans="1:16" x14ac:dyDescent="0.25">
      <c r="A59" s="17">
        <v>58</v>
      </c>
      <c r="B59" s="17" t="s">
        <v>6</v>
      </c>
      <c r="C59" s="17" t="s">
        <v>44</v>
      </c>
      <c r="D59" s="17" t="s">
        <v>44</v>
      </c>
      <c r="E59" s="17" t="s">
        <v>52</v>
      </c>
      <c r="F59" s="17" t="s">
        <v>10</v>
      </c>
      <c r="G59" s="17" t="str">
        <f>IF(C59="","",IFERROR(IF(INDEX(UnidadMedida!$B$1:$B$30,MATCH(C59,UnidadMedida!$A$1:$A$30,0))="","",INDEX(UnidadMedida!$B$1:$B$30,MATCH(C59,UnidadMedida!$A$1:$A$30,0))),""))</f>
        <v/>
      </c>
      <c r="H59" s="17"/>
      <c r="I59" s="17"/>
      <c r="J59" s="17"/>
      <c r="K59" s="17"/>
      <c r="L59" s="17"/>
      <c r="M59" s="17"/>
      <c r="N59" s="17"/>
      <c r="O59" s="17"/>
      <c r="P59" s="17"/>
    </row>
    <row r="60" spans="1:16" x14ac:dyDescent="0.25">
      <c r="A60" s="17">
        <v>59</v>
      </c>
      <c r="B60" s="17" t="s">
        <v>6</v>
      </c>
      <c r="C60" s="17" t="s">
        <v>44</v>
      </c>
      <c r="D60" s="17" t="s">
        <v>44</v>
      </c>
      <c r="E60" s="17" t="s">
        <v>53</v>
      </c>
      <c r="F60" s="17" t="s">
        <v>10</v>
      </c>
      <c r="G60" s="17" t="str">
        <f>IF(C60="","",IFERROR(IF(INDEX(UnidadMedida!$B$1:$B$30,MATCH(C60,UnidadMedida!$A$1:$A$30,0))="","",INDEX(UnidadMedida!$B$1:$B$30,MATCH(C60,UnidadMedida!$A$1:$A$30,0))),""))</f>
        <v/>
      </c>
      <c r="H60" s="17"/>
      <c r="I60" s="17"/>
      <c r="J60" s="17"/>
      <c r="K60" s="17"/>
      <c r="L60" s="17"/>
      <c r="M60" s="17"/>
      <c r="N60" s="17"/>
      <c r="O60" s="17"/>
      <c r="P60" s="17"/>
    </row>
    <row r="61" spans="1:16" x14ac:dyDescent="0.25">
      <c r="A61" s="17">
        <v>60</v>
      </c>
      <c r="B61" s="17" t="s">
        <v>6</v>
      </c>
      <c r="C61" s="17" t="s">
        <v>44</v>
      </c>
      <c r="D61" s="17" t="s">
        <v>44</v>
      </c>
      <c r="E61" s="17" t="s">
        <v>54</v>
      </c>
      <c r="F61" s="17" t="s">
        <v>10</v>
      </c>
      <c r="G61" s="17" t="str">
        <f>IF(C61="","",IFERROR(IF(INDEX(UnidadMedida!$B$1:$B$30,MATCH(C61,UnidadMedida!$A$1:$A$30,0))="","",INDEX(UnidadMedida!$B$1:$B$30,MATCH(C61,UnidadMedida!$A$1:$A$30,0))),""))</f>
        <v/>
      </c>
      <c r="H61" s="17"/>
      <c r="I61" s="17"/>
      <c r="J61" s="17"/>
      <c r="K61" s="17"/>
      <c r="L61" s="17"/>
      <c r="M61" s="17"/>
      <c r="N61" s="17"/>
      <c r="O61" s="17"/>
      <c r="P61" s="17"/>
    </row>
    <row r="62" spans="1:16" x14ac:dyDescent="0.25">
      <c r="A62" s="17">
        <v>61</v>
      </c>
      <c r="B62" s="17" t="s">
        <v>6</v>
      </c>
      <c r="C62" s="17" t="s">
        <v>55</v>
      </c>
      <c r="D62" s="17" t="s">
        <v>12</v>
      </c>
      <c r="E62" s="17" t="s">
        <v>54</v>
      </c>
      <c r="F62" s="17" t="s">
        <v>10</v>
      </c>
      <c r="G62" s="17" t="str">
        <f>IF(C62="","",IFERROR(IF(INDEX(UnidadMedida!$B$1:$B$30,MATCH(C62,UnidadMedida!$A$1:$A$30,0))="","",INDEX(UnidadMedida!$B$1:$B$30,MATCH(C62,UnidadMedida!$A$1:$A$30,0))),""))</f>
        <v>m/s</v>
      </c>
      <c r="H62" s="17"/>
      <c r="I62" s="17"/>
      <c r="J62" s="17"/>
      <c r="K62" s="17"/>
      <c r="L62" s="17"/>
      <c r="M62" s="17"/>
      <c r="N62" s="17"/>
      <c r="O62" s="17"/>
      <c r="P62" s="17"/>
    </row>
    <row r="63" spans="1:16" x14ac:dyDescent="0.25">
      <c r="A63" s="17">
        <v>62</v>
      </c>
      <c r="B63" s="17" t="s">
        <v>6</v>
      </c>
      <c r="C63" s="17" t="s">
        <v>44</v>
      </c>
      <c r="D63" s="17" t="s">
        <v>44</v>
      </c>
      <c r="E63" s="17" t="s">
        <v>56</v>
      </c>
      <c r="F63" s="17" t="s">
        <v>22</v>
      </c>
      <c r="G63" s="17" t="str">
        <f>IF(C63="","",IFERROR(IF(INDEX(UnidadMedida!$B$1:$B$30,MATCH(C63,UnidadMedida!$A$1:$A$30,0))="","",INDEX(UnidadMedida!$B$1:$B$30,MATCH(C63,UnidadMedida!$A$1:$A$30,0))),""))</f>
        <v/>
      </c>
      <c r="H63" s="17"/>
      <c r="I63" s="17"/>
      <c r="J63" s="17"/>
      <c r="K63" s="17"/>
      <c r="L63" s="17"/>
      <c r="M63" s="17"/>
      <c r="N63" s="17"/>
      <c r="O63" s="17"/>
      <c r="P63" s="17"/>
    </row>
    <row r="64" spans="1:16" x14ac:dyDescent="0.25">
      <c r="A64" s="17">
        <v>63</v>
      </c>
      <c r="B64" s="17" t="s">
        <v>6</v>
      </c>
      <c r="C64" s="17" t="s">
        <v>57</v>
      </c>
      <c r="D64" s="17" t="s">
        <v>58</v>
      </c>
      <c r="E64" s="17" t="s">
        <v>56</v>
      </c>
      <c r="F64" s="17" t="s">
        <v>22</v>
      </c>
      <c r="G64" s="17" t="str">
        <f>IF(C64="","",IFERROR(IF(INDEX(UnidadMedida!$B$1:$B$30,MATCH(C64,UnidadMedida!$A$1:$A$30,0))="","",INDEX(UnidadMedida!$B$1:$B$30,MATCH(C64,UnidadMedida!$A$1:$A$30,0))),""))</f>
        <v>mm</v>
      </c>
      <c r="H64" s="17"/>
      <c r="I64" s="17"/>
      <c r="J64" s="17"/>
      <c r="K64" s="17"/>
      <c r="L64" s="17"/>
      <c r="M64" s="17"/>
      <c r="N64" s="17"/>
      <c r="O64" s="17"/>
      <c r="P64" s="17"/>
    </row>
    <row r="65" spans="1:16" x14ac:dyDescent="0.25">
      <c r="A65" s="17">
        <v>64</v>
      </c>
      <c r="B65" s="17" t="s">
        <v>6</v>
      </c>
      <c r="C65" s="17" t="s">
        <v>55</v>
      </c>
      <c r="D65" s="17" t="s">
        <v>12</v>
      </c>
      <c r="E65" s="17" t="s">
        <v>56</v>
      </c>
      <c r="F65" s="17" t="s">
        <v>22</v>
      </c>
      <c r="G65" s="17" t="str">
        <f>IF(C65="","",IFERROR(IF(INDEX(UnidadMedida!$B$1:$B$30,MATCH(C65,UnidadMedida!$A$1:$A$30,0))="","",INDEX(UnidadMedida!$B$1:$B$30,MATCH(C65,UnidadMedida!$A$1:$A$30,0))),""))</f>
        <v>m/s</v>
      </c>
      <c r="H65" s="17"/>
      <c r="I65" s="17"/>
      <c r="J65" s="17"/>
      <c r="K65" s="17"/>
      <c r="L65" s="17"/>
      <c r="M65" s="17"/>
      <c r="N65" s="17"/>
      <c r="O65" s="17"/>
      <c r="P65" s="17"/>
    </row>
    <row r="66" spans="1:16" x14ac:dyDescent="0.25">
      <c r="A66" s="17">
        <v>65</v>
      </c>
      <c r="B66" s="17" t="s">
        <v>6</v>
      </c>
      <c r="C66" s="17" t="s">
        <v>59</v>
      </c>
      <c r="D66" s="17" t="s">
        <v>60</v>
      </c>
      <c r="E66" s="17" t="s">
        <v>61</v>
      </c>
      <c r="F66" s="17" t="s">
        <v>22</v>
      </c>
      <c r="G66" s="17" t="str">
        <f>IF(C66="","",IFERROR(IF(INDEX(UnidadMedida!$B$1:$B$30,MATCH(C66,UnidadMedida!$A$1:$A$30,0))="","",INDEX(UnidadMedida!$B$1:$B$30,MATCH(C66,UnidadMedida!$A$1:$A$30,0))),""))</f>
        <v>°C</v>
      </c>
      <c r="H66" s="17"/>
      <c r="I66" s="17"/>
      <c r="J66" s="17"/>
      <c r="K66" s="17"/>
      <c r="L66" s="17"/>
      <c r="M66" s="17"/>
      <c r="N66" s="17"/>
      <c r="O66" s="17"/>
      <c r="P66" s="17"/>
    </row>
    <row r="67" spans="1:16" x14ac:dyDescent="0.25">
      <c r="A67" s="17">
        <v>66</v>
      </c>
      <c r="B67" s="17" t="s">
        <v>6</v>
      </c>
      <c r="C67" s="17" t="s">
        <v>57</v>
      </c>
      <c r="D67" s="17" t="s">
        <v>58</v>
      </c>
      <c r="E67" s="17" t="s">
        <v>61</v>
      </c>
      <c r="F67" s="17" t="s">
        <v>22</v>
      </c>
      <c r="G67" s="17" t="str">
        <f>IF(C67="","",IFERROR(IF(INDEX(UnidadMedida!$B$1:$B$30,MATCH(C67,UnidadMedida!$A$1:$A$30,0))="","",INDEX(UnidadMedida!$B$1:$B$30,MATCH(C67,UnidadMedida!$A$1:$A$30,0))),""))</f>
        <v>mm</v>
      </c>
      <c r="H67" s="17"/>
      <c r="I67" s="17"/>
      <c r="J67" s="17"/>
      <c r="K67" s="17"/>
      <c r="L67" s="17"/>
      <c r="M67" s="17"/>
      <c r="N67" s="17"/>
      <c r="O67" s="17"/>
      <c r="P67" s="17"/>
    </row>
    <row r="68" spans="1:16" x14ac:dyDescent="0.25">
      <c r="A68" s="17">
        <v>67</v>
      </c>
      <c r="B68" s="17" t="s">
        <v>6</v>
      </c>
      <c r="C68" s="17" t="s">
        <v>55</v>
      </c>
      <c r="D68" s="17" t="s">
        <v>12</v>
      </c>
      <c r="E68" s="17" t="s">
        <v>61</v>
      </c>
      <c r="F68" s="17" t="s">
        <v>22</v>
      </c>
      <c r="G68" s="17" t="str">
        <f>IF(C68="","",IFERROR(IF(INDEX(UnidadMedida!$B$1:$B$30,MATCH(C68,UnidadMedida!$A$1:$A$30,0))="","",INDEX(UnidadMedida!$B$1:$B$30,MATCH(C68,UnidadMedida!$A$1:$A$30,0))),""))</f>
        <v>m/s</v>
      </c>
      <c r="H68" s="17">
        <v>8</v>
      </c>
      <c r="I68" s="17"/>
      <c r="J68" s="17"/>
      <c r="K68" s="17"/>
      <c r="L68" s="17"/>
      <c r="M68" s="17"/>
      <c r="N68" s="17"/>
      <c r="O68" s="17"/>
      <c r="P68" s="17"/>
    </row>
    <row r="69" spans="1:16" x14ac:dyDescent="0.25">
      <c r="A69" s="17">
        <v>68</v>
      </c>
      <c r="B69" s="17" t="s">
        <v>6</v>
      </c>
      <c r="C69" s="17" t="s">
        <v>44</v>
      </c>
      <c r="D69" s="17" t="s">
        <v>44</v>
      </c>
      <c r="E69" s="17" t="s">
        <v>62</v>
      </c>
      <c r="F69" s="17" t="s">
        <v>10</v>
      </c>
      <c r="G69" s="17" t="str">
        <f>IF(C69="","",IFERROR(IF(INDEX(UnidadMedida!$B$1:$B$30,MATCH(C69,UnidadMedida!$A$1:$A$30,0))="","",INDEX(UnidadMedida!$B$1:$B$30,MATCH(C69,UnidadMedida!$A$1:$A$30,0))),""))</f>
        <v/>
      </c>
      <c r="H69" s="17"/>
      <c r="I69" s="17"/>
      <c r="J69" s="17"/>
      <c r="K69" s="17"/>
      <c r="L69" s="17"/>
      <c r="M69" s="17"/>
      <c r="N69" s="17"/>
      <c r="O69" s="17"/>
      <c r="P69" s="17"/>
    </row>
    <row r="70" spans="1:16" x14ac:dyDescent="0.25">
      <c r="A70" s="17">
        <v>69</v>
      </c>
      <c r="B70" s="17" t="s">
        <v>6</v>
      </c>
      <c r="C70" s="17" t="s">
        <v>55</v>
      </c>
      <c r="D70" s="17" t="s">
        <v>12</v>
      </c>
      <c r="E70" s="17" t="s">
        <v>62</v>
      </c>
      <c r="F70" s="17" t="s">
        <v>10</v>
      </c>
      <c r="G70" s="17" t="str">
        <f>IF(C70="","",IFERROR(IF(INDEX(UnidadMedida!$B$1:$B$30,MATCH(C70,UnidadMedida!$A$1:$A$30,0))="","",INDEX(UnidadMedida!$B$1:$B$30,MATCH(C70,UnidadMedida!$A$1:$A$30,0))),""))</f>
        <v>m/s</v>
      </c>
      <c r="H70" s="17"/>
      <c r="I70" s="17"/>
      <c r="J70" s="17"/>
      <c r="K70" s="17"/>
      <c r="L70" s="17"/>
      <c r="M70" s="17"/>
      <c r="N70" s="17"/>
      <c r="O70" s="17"/>
      <c r="P70" s="17"/>
    </row>
    <row r="71" spans="1:16" x14ac:dyDescent="0.25">
      <c r="A71" s="17">
        <v>70</v>
      </c>
      <c r="B71" s="17" t="s">
        <v>6</v>
      </c>
      <c r="C71" s="17" t="s">
        <v>43</v>
      </c>
      <c r="D71" s="17" t="s">
        <v>44</v>
      </c>
      <c r="E71" s="17" t="s">
        <v>63</v>
      </c>
      <c r="F71" s="17" t="s">
        <v>10</v>
      </c>
      <c r="G71" s="17" t="str">
        <f>IF(C71="","",IFERROR(IF(INDEX(UnidadMedida!$B$1:$B$30,MATCH(C71,UnidadMedida!$A$1:$A$30,0))="","",INDEX(UnidadMedida!$B$1:$B$30,MATCH(C71,UnidadMedida!$A$1:$A$30,0))),""))</f>
        <v>m</v>
      </c>
      <c r="H71" s="17"/>
      <c r="I71" s="17"/>
      <c r="J71" s="17"/>
      <c r="K71" s="17"/>
      <c r="L71" s="17"/>
      <c r="M71" s="17"/>
      <c r="N71" s="17"/>
      <c r="O71" s="17"/>
      <c r="P71" s="17"/>
    </row>
    <row r="72" spans="1:16" x14ac:dyDescent="0.25">
      <c r="A72" s="17">
        <v>71</v>
      </c>
      <c r="B72" s="17" t="s">
        <v>6</v>
      </c>
      <c r="C72" s="17" t="s">
        <v>43</v>
      </c>
      <c r="D72" s="17" t="s">
        <v>44</v>
      </c>
      <c r="E72" s="17" t="s">
        <v>64</v>
      </c>
      <c r="F72" s="17" t="s">
        <v>10</v>
      </c>
      <c r="G72" s="17" t="str">
        <f>IF(C72="","",IFERROR(IF(INDEX(UnidadMedida!$B$1:$B$30,MATCH(C72,UnidadMedida!$A$1:$A$30,0))="","",INDEX(UnidadMedida!$B$1:$B$30,MATCH(C72,UnidadMedida!$A$1:$A$30,0))),""))</f>
        <v>m</v>
      </c>
      <c r="H72" s="17"/>
      <c r="I72" s="17"/>
      <c r="J72" s="17"/>
      <c r="K72" s="17"/>
      <c r="L72" s="17"/>
      <c r="M72" s="17"/>
      <c r="N72" s="17"/>
      <c r="O72" s="17"/>
      <c r="P72" s="17"/>
    </row>
    <row r="73" spans="1:16" x14ac:dyDescent="0.25">
      <c r="A73" s="17">
        <v>72</v>
      </c>
      <c r="B73" s="17" t="s">
        <v>6</v>
      </c>
      <c r="C73" s="17" t="s">
        <v>55</v>
      </c>
      <c r="D73" s="17" t="s">
        <v>12</v>
      </c>
      <c r="E73" s="17" t="s">
        <v>64</v>
      </c>
      <c r="F73" s="17" t="s">
        <v>10</v>
      </c>
      <c r="G73" s="17" t="str">
        <f>IF(C73="","",IFERROR(IF(INDEX(UnidadMedida!$B$1:$B$30,MATCH(C73,UnidadMedida!$A$1:$A$30,0))="","",INDEX(UnidadMedida!$B$1:$B$30,MATCH(C73,UnidadMedida!$A$1:$A$30,0))),""))</f>
        <v>m/s</v>
      </c>
      <c r="H73" s="17"/>
      <c r="I73" s="17"/>
      <c r="J73" s="17"/>
      <c r="K73" s="17"/>
      <c r="L73" s="17"/>
      <c r="M73" s="17"/>
      <c r="N73" s="17"/>
      <c r="O73" s="17"/>
      <c r="P73" s="17"/>
    </row>
    <row r="74" spans="1:16" x14ac:dyDescent="0.25">
      <c r="A74" s="17">
        <v>73</v>
      </c>
      <c r="B74" s="17" t="s">
        <v>6</v>
      </c>
      <c r="C74" s="17" t="s">
        <v>43</v>
      </c>
      <c r="D74" s="17" t="s">
        <v>44</v>
      </c>
      <c r="E74" s="17" t="s">
        <v>65</v>
      </c>
      <c r="F74" s="17" t="s">
        <v>10</v>
      </c>
      <c r="G74" s="17" t="str">
        <f>IF(C74="","",IFERROR(IF(INDEX(UnidadMedida!$B$1:$B$30,MATCH(C74,UnidadMedida!$A$1:$A$30,0))="","",INDEX(UnidadMedida!$B$1:$B$30,MATCH(C74,UnidadMedida!$A$1:$A$30,0))),""))</f>
        <v>m</v>
      </c>
      <c r="H74" s="17"/>
      <c r="I74" s="17"/>
      <c r="J74" s="17"/>
      <c r="K74" s="17"/>
      <c r="L74" s="17"/>
      <c r="M74" s="17"/>
      <c r="N74" s="17"/>
      <c r="O74" s="17"/>
      <c r="P74" s="17"/>
    </row>
    <row r="75" spans="1:16" x14ac:dyDescent="0.25">
      <c r="A75" s="17">
        <v>74</v>
      </c>
      <c r="B75" s="17" t="s">
        <v>6</v>
      </c>
      <c r="C75" s="17" t="s">
        <v>55</v>
      </c>
      <c r="D75" s="17" t="s">
        <v>12</v>
      </c>
      <c r="E75" s="17" t="s">
        <v>65</v>
      </c>
      <c r="F75" s="17" t="s">
        <v>10</v>
      </c>
      <c r="G75" s="17" t="str">
        <f>IF(C75="","",IFERROR(IF(INDEX(UnidadMedida!$B$1:$B$30,MATCH(C75,UnidadMedida!$A$1:$A$30,0))="","",INDEX(UnidadMedida!$B$1:$B$30,MATCH(C75,UnidadMedida!$A$1:$A$30,0))),""))</f>
        <v>m/s</v>
      </c>
      <c r="H75" s="17"/>
      <c r="I75" s="17"/>
      <c r="J75" s="17"/>
      <c r="K75" s="17"/>
      <c r="L75" s="17"/>
      <c r="M75" s="17"/>
      <c r="N75" s="17"/>
      <c r="O75" s="17"/>
      <c r="P75" s="17"/>
    </row>
    <row r="76" spans="1:16" x14ac:dyDescent="0.25">
      <c r="A76" s="17">
        <v>75</v>
      </c>
      <c r="B76" s="17" t="s">
        <v>6</v>
      </c>
      <c r="C76" s="17" t="s">
        <v>43</v>
      </c>
      <c r="D76" s="17" t="s">
        <v>44</v>
      </c>
      <c r="E76" s="17" t="s">
        <v>66</v>
      </c>
      <c r="F76" s="17" t="s">
        <v>10</v>
      </c>
      <c r="G76" s="17" t="str">
        <f>IF(C76="","",IFERROR(IF(INDEX(UnidadMedida!$B$1:$B$30,MATCH(C76,UnidadMedida!$A$1:$A$30,0))="","",INDEX(UnidadMedida!$B$1:$B$30,MATCH(C76,UnidadMedida!$A$1:$A$30,0))),""))</f>
        <v>m</v>
      </c>
      <c r="H76" s="17"/>
      <c r="I76" s="17"/>
      <c r="J76" s="17"/>
      <c r="K76" s="17"/>
      <c r="L76" s="17"/>
      <c r="M76" s="17"/>
      <c r="N76" s="17"/>
      <c r="O76" s="17"/>
      <c r="P76" s="17"/>
    </row>
    <row r="77" spans="1:16" x14ac:dyDescent="0.25">
      <c r="A77" s="17">
        <v>76</v>
      </c>
      <c r="B77" s="17" t="s">
        <v>6</v>
      </c>
      <c r="C77" s="17" t="s">
        <v>55</v>
      </c>
      <c r="D77" s="17" t="s">
        <v>12</v>
      </c>
      <c r="E77" s="17" t="s">
        <v>66</v>
      </c>
      <c r="F77" s="17" t="s">
        <v>10</v>
      </c>
      <c r="G77" s="17" t="str">
        <f>IF(C77="","",IFERROR(IF(INDEX(UnidadMedida!$B$1:$B$30,MATCH(C77,UnidadMedida!$A$1:$A$30,0))="","",INDEX(UnidadMedida!$B$1:$B$30,MATCH(C77,UnidadMedida!$A$1:$A$30,0))),""))</f>
        <v>m/s</v>
      </c>
      <c r="H77" s="17"/>
      <c r="I77" s="17"/>
      <c r="J77" s="17"/>
      <c r="K77" s="17"/>
      <c r="L77" s="17"/>
      <c r="M77" s="17"/>
      <c r="N77" s="17"/>
      <c r="O77" s="17"/>
      <c r="P77" s="17"/>
    </row>
    <row r="78" spans="1:16" x14ac:dyDescent="0.25">
      <c r="A78" s="17">
        <v>77</v>
      </c>
      <c r="B78" s="17" t="s">
        <v>6</v>
      </c>
      <c r="C78" s="17" t="s">
        <v>16</v>
      </c>
      <c r="D78" s="17" t="s">
        <v>17</v>
      </c>
      <c r="E78" s="17" t="s">
        <v>66</v>
      </c>
      <c r="F78" s="17" t="s">
        <v>10</v>
      </c>
      <c r="G78" s="17" t="str">
        <f>IF(C78="","",IFERROR(IF(INDEX(UnidadMedida!$B$1:$B$30,MATCH(C78,UnidadMedida!$A$1:$A$30,0))="","",INDEX(UnidadMedida!$B$1:$B$30,MATCH(C78,UnidadMedida!$A$1:$A$30,0))),""))</f>
        <v>km</v>
      </c>
      <c r="H78" s="17"/>
      <c r="I78" s="17"/>
      <c r="J78" s="17"/>
      <c r="K78" s="17"/>
      <c r="L78" s="17"/>
      <c r="M78" s="17"/>
      <c r="N78" s="17"/>
      <c r="O78" s="17"/>
      <c r="P78" s="17"/>
    </row>
    <row r="79" spans="1:16" x14ac:dyDescent="0.25">
      <c r="A79" s="17">
        <v>78</v>
      </c>
      <c r="B79" s="17" t="s">
        <v>6</v>
      </c>
      <c r="C79" s="17" t="s">
        <v>43</v>
      </c>
      <c r="D79" s="17" t="s">
        <v>44</v>
      </c>
      <c r="E79" s="17" t="s">
        <v>67</v>
      </c>
      <c r="F79" s="17" t="s">
        <v>10</v>
      </c>
      <c r="G79" s="17" t="str">
        <f>IF(C79="","",IFERROR(IF(INDEX(UnidadMedida!$B$1:$B$30,MATCH(C79,UnidadMedida!$A$1:$A$30,0))="","",INDEX(UnidadMedida!$B$1:$B$30,MATCH(C79,UnidadMedida!$A$1:$A$30,0))),""))</f>
        <v>m</v>
      </c>
      <c r="H79" s="17"/>
      <c r="I79" s="17"/>
      <c r="J79" s="17"/>
      <c r="K79" s="17"/>
      <c r="L79" s="17"/>
      <c r="M79" s="17"/>
      <c r="N79" s="17"/>
      <c r="O79" s="17"/>
      <c r="P79" s="17"/>
    </row>
    <row r="80" spans="1:16" x14ac:dyDescent="0.25">
      <c r="A80" s="17">
        <v>79</v>
      </c>
      <c r="B80" s="17" t="s">
        <v>6</v>
      </c>
      <c r="C80" s="17" t="s">
        <v>43</v>
      </c>
      <c r="D80" s="17" t="s">
        <v>44</v>
      </c>
      <c r="E80" s="17" t="s">
        <v>68</v>
      </c>
      <c r="F80" s="17" t="s">
        <v>10</v>
      </c>
      <c r="G80" s="17" t="str">
        <f>IF(C80="","",IFERROR(IF(INDEX(UnidadMedida!$B$1:$B$30,MATCH(C80,UnidadMedida!$A$1:$A$30,0))="","",INDEX(UnidadMedida!$B$1:$B$30,MATCH(C80,UnidadMedida!$A$1:$A$30,0))),""))</f>
        <v>m</v>
      </c>
      <c r="H80" s="17"/>
      <c r="I80" s="17"/>
      <c r="J80" s="17"/>
      <c r="K80" s="17"/>
      <c r="L80" s="17"/>
      <c r="M80" s="17"/>
      <c r="N80" s="17"/>
      <c r="O80" s="17"/>
      <c r="P80" s="17"/>
    </row>
    <row r="81" spans="1:16" x14ac:dyDescent="0.25">
      <c r="A81" s="17">
        <v>80</v>
      </c>
      <c r="B81" s="17" t="s">
        <v>6</v>
      </c>
      <c r="C81" s="17" t="s">
        <v>43</v>
      </c>
      <c r="D81" s="17" t="s">
        <v>44</v>
      </c>
      <c r="E81" s="17" t="s">
        <v>69</v>
      </c>
      <c r="F81" s="17" t="s">
        <v>10</v>
      </c>
      <c r="G81" s="17" t="str">
        <f>IF(C81="","",IFERROR(IF(INDEX(UnidadMedida!$B$1:$B$30,MATCH(C81,UnidadMedida!$A$1:$A$30,0))="","",INDEX(UnidadMedida!$B$1:$B$30,MATCH(C81,UnidadMedida!$A$1:$A$30,0))),""))</f>
        <v>m</v>
      </c>
      <c r="H81" s="17"/>
      <c r="I81" s="17"/>
      <c r="J81" s="17"/>
      <c r="K81" s="17"/>
      <c r="L81" s="17"/>
      <c r="M81" s="17"/>
      <c r="N81" s="17"/>
      <c r="O81" s="17"/>
      <c r="P81" s="17"/>
    </row>
    <row r="82" spans="1:16" x14ac:dyDescent="0.25">
      <c r="A82" s="17">
        <v>81</v>
      </c>
      <c r="B82" s="17" t="s">
        <v>6</v>
      </c>
      <c r="C82" s="17" t="s">
        <v>43</v>
      </c>
      <c r="D82" s="17" t="s">
        <v>44</v>
      </c>
      <c r="E82" s="17" t="s">
        <v>70</v>
      </c>
      <c r="F82" s="17" t="s">
        <v>10</v>
      </c>
      <c r="G82" s="17" t="str">
        <f>IF(C82="","",IFERROR(IF(INDEX(UnidadMedida!$B$1:$B$30,MATCH(C82,UnidadMedida!$A$1:$A$30,0))="","",INDEX(UnidadMedida!$B$1:$B$30,MATCH(C82,UnidadMedida!$A$1:$A$30,0))),""))</f>
        <v>m</v>
      </c>
      <c r="H82" s="17"/>
      <c r="I82" s="17"/>
      <c r="J82" s="17"/>
      <c r="K82" s="17"/>
      <c r="L82" s="17"/>
      <c r="M82" s="17"/>
      <c r="N82" s="17"/>
      <c r="O82" s="17"/>
      <c r="P82" s="17"/>
    </row>
    <row r="83" spans="1:16" x14ac:dyDescent="0.25">
      <c r="A83" s="17">
        <v>82</v>
      </c>
      <c r="B83" s="17" t="s">
        <v>6</v>
      </c>
      <c r="C83" s="17" t="s">
        <v>16</v>
      </c>
      <c r="D83" s="17" t="s">
        <v>17</v>
      </c>
      <c r="E83" s="17" t="s">
        <v>70</v>
      </c>
      <c r="F83" s="17" t="s">
        <v>10</v>
      </c>
      <c r="G83" s="17" t="str">
        <f>IF(C83="","",IFERROR(IF(INDEX(UnidadMedida!$B$1:$B$30,MATCH(C83,UnidadMedida!$A$1:$A$30,0))="","",INDEX(UnidadMedida!$B$1:$B$30,MATCH(C83,UnidadMedida!$A$1:$A$30,0))),""))</f>
        <v>km</v>
      </c>
      <c r="H83" s="17"/>
      <c r="I83" s="17"/>
      <c r="J83" s="17"/>
      <c r="K83" s="17"/>
      <c r="L83" s="17"/>
      <c r="M83" s="17"/>
      <c r="N83" s="17"/>
      <c r="O83" s="17"/>
      <c r="P83" s="17"/>
    </row>
    <row r="84" spans="1:16" x14ac:dyDescent="0.25">
      <c r="A84" s="17">
        <v>83</v>
      </c>
      <c r="B84" s="17" t="s">
        <v>6</v>
      </c>
      <c r="C84" s="17" t="s">
        <v>43</v>
      </c>
      <c r="D84" s="17" t="s">
        <v>44</v>
      </c>
      <c r="E84" s="17" t="s">
        <v>71</v>
      </c>
      <c r="F84" s="17" t="s">
        <v>10</v>
      </c>
      <c r="G84" s="17" t="str">
        <f>IF(C84="","",IFERROR(IF(INDEX(UnidadMedida!$B$1:$B$30,MATCH(C84,UnidadMedida!$A$1:$A$30,0))="","",INDEX(UnidadMedida!$B$1:$B$30,MATCH(C84,UnidadMedida!$A$1:$A$30,0))),""))</f>
        <v>m</v>
      </c>
      <c r="H84" s="17"/>
      <c r="I84" s="17"/>
      <c r="J84" s="17"/>
      <c r="K84" s="17"/>
      <c r="L84" s="17"/>
      <c r="M84" s="17"/>
      <c r="N84" s="17"/>
      <c r="O84" s="17"/>
      <c r="P84" s="17"/>
    </row>
    <row r="85" spans="1:16" x14ac:dyDescent="0.25">
      <c r="A85" s="17">
        <v>84</v>
      </c>
      <c r="B85" s="17" t="s">
        <v>6</v>
      </c>
      <c r="C85" s="17" t="s">
        <v>55</v>
      </c>
      <c r="D85" s="17" t="s">
        <v>12</v>
      </c>
      <c r="E85" s="17" t="s">
        <v>72</v>
      </c>
      <c r="F85" s="17" t="s">
        <v>10</v>
      </c>
      <c r="G85" s="17" t="str">
        <f>IF(C85="","",IFERROR(IF(INDEX(UnidadMedida!$B$1:$B$30,MATCH(C85,UnidadMedida!$A$1:$A$30,0))="","",INDEX(UnidadMedida!$B$1:$B$30,MATCH(C85,UnidadMedida!$A$1:$A$30,0))),""))</f>
        <v>m/s</v>
      </c>
      <c r="H85" s="17"/>
      <c r="I85" s="17"/>
      <c r="J85" s="17"/>
      <c r="K85" s="17"/>
      <c r="L85" s="17"/>
      <c r="M85" s="17"/>
      <c r="N85" s="17"/>
      <c r="O85" s="17"/>
      <c r="P85" s="17"/>
    </row>
    <row r="86" spans="1:16" x14ac:dyDescent="0.25">
      <c r="A86" s="17">
        <v>85</v>
      </c>
      <c r="B86" s="17" t="s">
        <v>6</v>
      </c>
      <c r="C86" s="17" t="s">
        <v>16</v>
      </c>
      <c r="D86" s="17" t="s">
        <v>17</v>
      </c>
      <c r="E86" s="17" t="s">
        <v>72</v>
      </c>
      <c r="F86" s="17" t="s">
        <v>10</v>
      </c>
      <c r="G86" s="17" t="str">
        <f>IF(C86="","",IFERROR(IF(INDEX(UnidadMedida!$B$1:$B$30,MATCH(C86,UnidadMedida!$A$1:$A$30,0))="","",INDEX(UnidadMedida!$B$1:$B$30,MATCH(C86,UnidadMedida!$A$1:$A$30,0))),""))</f>
        <v>km</v>
      </c>
      <c r="H86" s="17"/>
      <c r="I86" s="17"/>
      <c r="J86" s="17"/>
      <c r="K86" s="17"/>
      <c r="L86" s="17"/>
      <c r="M86" s="17"/>
      <c r="N86" s="17"/>
      <c r="O86" s="17"/>
      <c r="P86" s="17"/>
    </row>
    <row r="87" spans="1:16" x14ac:dyDescent="0.25">
      <c r="A87" s="17">
        <v>86</v>
      </c>
      <c r="B87" s="17" t="s">
        <v>6</v>
      </c>
      <c r="C87" s="17" t="s">
        <v>43</v>
      </c>
      <c r="D87" s="17" t="s">
        <v>44</v>
      </c>
      <c r="E87" s="17" t="s">
        <v>73</v>
      </c>
      <c r="F87" s="17" t="s">
        <v>10</v>
      </c>
      <c r="G87" s="17" t="str">
        <f>IF(C87="","",IFERROR(IF(INDEX(UnidadMedida!$B$1:$B$30,MATCH(C87,UnidadMedida!$A$1:$A$30,0))="","",INDEX(UnidadMedida!$B$1:$B$30,MATCH(C87,UnidadMedida!$A$1:$A$30,0))),""))</f>
        <v>m</v>
      </c>
      <c r="H87" s="17"/>
      <c r="I87" s="17"/>
      <c r="J87" s="17"/>
      <c r="K87" s="17"/>
      <c r="L87" s="17"/>
      <c r="M87" s="17"/>
      <c r="N87" s="17"/>
      <c r="O87" s="17"/>
      <c r="P87" s="17"/>
    </row>
    <row r="88" spans="1:16" x14ac:dyDescent="0.25">
      <c r="A88" s="17">
        <v>87</v>
      </c>
      <c r="B88" s="17" t="s">
        <v>6</v>
      </c>
      <c r="C88" s="17" t="s">
        <v>43</v>
      </c>
      <c r="D88" s="17" t="s">
        <v>44</v>
      </c>
      <c r="E88" s="17" t="s">
        <v>74</v>
      </c>
      <c r="F88" s="17" t="s">
        <v>22</v>
      </c>
      <c r="G88" s="17" t="str">
        <f>IF(C88="","",IFERROR(IF(INDEX(UnidadMedida!$B$1:$B$30,MATCH(C88,UnidadMedida!$A$1:$A$30,0))="","",INDEX(UnidadMedida!$B$1:$B$30,MATCH(C88,UnidadMedida!$A$1:$A$30,0))),""))</f>
        <v>m</v>
      </c>
      <c r="H88" s="17"/>
      <c r="I88" s="17"/>
      <c r="J88" s="17"/>
      <c r="K88" s="17"/>
      <c r="L88" s="17"/>
      <c r="M88" s="17"/>
      <c r="N88" s="17"/>
      <c r="O88" s="17"/>
      <c r="P88" s="17"/>
    </row>
    <row r="89" spans="1:16" x14ac:dyDescent="0.25">
      <c r="A89" s="17">
        <v>88</v>
      </c>
      <c r="B89" s="17" t="s">
        <v>6</v>
      </c>
      <c r="C89" s="17" t="s">
        <v>55</v>
      </c>
      <c r="D89" s="17" t="s">
        <v>12</v>
      </c>
      <c r="E89" s="17" t="s">
        <v>74</v>
      </c>
      <c r="F89" s="17" t="s">
        <v>22</v>
      </c>
      <c r="G89" s="17" t="str">
        <f>IF(C89="","",IFERROR(IF(INDEX(UnidadMedida!$B$1:$B$30,MATCH(C89,UnidadMedida!$A$1:$A$30,0))="","",INDEX(UnidadMedida!$B$1:$B$30,MATCH(C89,UnidadMedida!$A$1:$A$30,0))),""))</f>
        <v>m/s</v>
      </c>
      <c r="H89" s="17"/>
      <c r="I89" s="17"/>
      <c r="J89" s="17"/>
      <c r="K89" s="17"/>
      <c r="L89" s="17"/>
      <c r="M89" s="17"/>
      <c r="N89" s="17"/>
      <c r="O89" s="17"/>
      <c r="P89" s="17"/>
    </row>
    <row r="90" spans="1:16" x14ac:dyDescent="0.25">
      <c r="A90" s="17">
        <v>89</v>
      </c>
      <c r="B90" s="17" t="s">
        <v>6</v>
      </c>
      <c r="C90" s="17" t="s">
        <v>43</v>
      </c>
      <c r="D90" s="17" t="s">
        <v>44</v>
      </c>
      <c r="E90" s="17" t="s">
        <v>75</v>
      </c>
      <c r="F90" s="17" t="s">
        <v>10</v>
      </c>
      <c r="G90" s="17" t="str">
        <f>IF(C90="","",IFERROR(IF(INDEX(UnidadMedida!$B$1:$B$30,MATCH(C90,UnidadMedida!$A$1:$A$30,0))="","",INDEX(UnidadMedida!$B$1:$B$30,MATCH(C90,UnidadMedida!$A$1:$A$30,0))),""))</f>
        <v>m</v>
      </c>
      <c r="H90" s="17"/>
      <c r="I90" s="17"/>
      <c r="J90" s="17"/>
      <c r="K90" s="17"/>
      <c r="L90" s="17"/>
      <c r="M90" s="17"/>
      <c r="N90" s="17"/>
      <c r="O90" s="17"/>
      <c r="P90" s="17"/>
    </row>
    <row r="91" spans="1:16" x14ac:dyDescent="0.25">
      <c r="A91" s="17">
        <v>90</v>
      </c>
      <c r="B91" s="17" t="s">
        <v>6</v>
      </c>
      <c r="C91" s="17" t="s">
        <v>55</v>
      </c>
      <c r="D91" s="17" t="s">
        <v>12</v>
      </c>
      <c r="E91" s="17" t="s">
        <v>75</v>
      </c>
      <c r="F91" s="17" t="s">
        <v>10</v>
      </c>
      <c r="G91" s="17" t="str">
        <f>IF(C91="","",IFERROR(IF(INDEX(UnidadMedida!$B$1:$B$30,MATCH(C91,UnidadMedida!$A$1:$A$30,0))="","",INDEX(UnidadMedida!$B$1:$B$30,MATCH(C91,UnidadMedida!$A$1:$A$30,0))),""))</f>
        <v>m/s</v>
      </c>
      <c r="H91" s="17"/>
      <c r="I91" s="17"/>
      <c r="J91" s="17"/>
      <c r="K91" s="17"/>
      <c r="L91" s="17"/>
      <c r="M91" s="17"/>
      <c r="N91" s="17"/>
      <c r="O91" s="17"/>
      <c r="P91" s="17"/>
    </row>
    <row r="92" spans="1:16" x14ac:dyDescent="0.25">
      <c r="A92" s="17">
        <v>91</v>
      </c>
      <c r="B92" s="17" t="s">
        <v>6</v>
      </c>
      <c r="C92" s="17" t="s">
        <v>43</v>
      </c>
      <c r="D92" s="17" t="s">
        <v>44</v>
      </c>
      <c r="E92" s="17" t="s">
        <v>76</v>
      </c>
      <c r="F92" s="17" t="s">
        <v>22</v>
      </c>
      <c r="G92" s="17" t="str">
        <f>IF(C92="","",IFERROR(IF(INDEX(UnidadMedida!$B$1:$B$30,MATCH(C92,UnidadMedida!$A$1:$A$30,0))="","",INDEX(UnidadMedida!$B$1:$B$30,MATCH(C92,UnidadMedida!$A$1:$A$30,0))),""))</f>
        <v>m</v>
      </c>
      <c r="H92" s="17"/>
      <c r="I92" s="17"/>
      <c r="J92" s="17"/>
      <c r="K92" s="17"/>
      <c r="L92" s="17"/>
      <c r="M92" s="17"/>
      <c r="N92" s="17"/>
      <c r="O92" s="17"/>
      <c r="P92" s="17"/>
    </row>
    <row r="93" spans="1:16" x14ac:dyDescent="0.25">
      <c r="A93" s="17">
        <v>92</v>
      </c>
      <c r="B93" s="17" t="s">
        <v>6</v>
      </c>
      <c r="C93" s="17" t="s">
        <v>43</v>
      </c>
      <c r="D93" s="17" t="s">
        <v>44</v>
      </c>
      <c r="E93" s="17" t="s">
        <v>77</v>
      </c>
      <c r="F93" s="17" t="s">
        <v>10</v>
      </c>
      <c r="G93" s="17" t="str">
        <f>IF(C93="","",IFERROR(IF(INDEX(UnidadMedida!$B$1:$B$30,MATCH(C93,UnidadMedida!$A$1:$A$30,0))="","",INDEX(UnidadMedida!$B$1:$B$30,MATCH(C93,UnidadMedida!$A$1:$A$30,0))),""))</f>
        <v>m</v>
      </c>
      <c r="H93" s="17"/>
      <c r="I93" s="17"/>
      <c r="J93" s="17"/>
      <c r="K93" s="17"/>
      <c r="L93" s="17"/>
      <c r="M93" s="17"/>
      <c r="N93" s="17"/>
      <c r="O93" s="17"/>
      <c r="P93" s="17"/>
    </row>
    <row r="94" spans="1:16" x14ac:dyDescent="0.25">
      <c r="A94" s="17">
        <v>93</v>
      </c>
      <c r="B94" s="17" t="s">
        <v>6</v>
      </c>
      <c r="C94" s="17" t="s">
        <v>55</v>
      </c>
      <c r="D94" s="17" t="s">
        <v>12</v>
      </c>
      <c r="E94" s="17" t="s">
        <v>77</v>
      </c>
      <c r="F94" s="17" t="s">
        <v>10</v>
      </c>
      <c r="G94" s="17" t="str">
        <f>IF(C94="","",IFERROR(IF(INDEX(UnidadMedida!$B$1:$B$30,MATCH(C94,UnidadMedida!$A$1:$A$30,0))="","",INDEX(UnidadMedida!$B$1:$B$30,MATCH(C94,UnidadMedida!$A$1:$A$30,0))),""))</f>
        <v>m/s</v>
      </c>
      <c r="H94" s="17"/>
      <c r="I94" s="17"/>
      <c r="J94" s="17"/>
      <c r="K94" s="17"/>
      <c r="L94" s="17"/>
      <c r="M94" s="17"/>
      <c r="N94" s="17"/>
      <c r="O94" s="17"/>
      <c r="P94" s="17"/>
    </row>
    <row r="95" spans="1:16" x14ac:dyDescent="0.25">
      <c r="A95" s="17">
        <v>94</v>
      </c>
      <c r="B95" s="17" t="s">
        <v>78</v>
      </c>
      <c r="C95" s="17" t="s">
        <v>36</v>
      </c>
      <c r="D95" s="17" t="s">
        <v>29</v>
      </c>
      <c r="E95" s="17" t="s">
        <v>9</v>
      </c>
      <c r="F95" s="17" t="s">
        <v>10</v>
      </c>
      <c r="G95" s="17" t="str">
        <f>IF(C95="","",IFERROR(IF(INDEX(UnidadMedida!$B$1:$B$30,MATCH(C95,UnidadMedida!$A$1:$A$30,0))="","",INDEX(UnidadMedida!$B$1:$B$30,MATCH(C95,UnidadMedida!$A$1:$A$30,0))),""))</f>
        <v>m</v>
      </c>
      <c r="H95" s="17" t="s">
        <v>124</v>
      </c>
      <c r="I95" s="17"/>
      <c r="J95" s="17"/>
      <c r="K95" s="17"/>
      <c r="L95" s="17"/>
      <c r="M95" s="17"/>
      <c r="N95" s="17"/>
      <c r="O95" s="17"/>
      <c r="P95" s="17"/>
    </row>
    <row r="96" spans="1:16" x14ac:dyDescent="0.25">
      <c r="A96" s="17">
        <v>95</v>
      </c>
      <c r="B96" s="17" t="s">
        <v>78</v>
      </c>
      <c r="C96" s="17" t="s">
        <v>36</v>
      </c>
      <c r="D96" s="17" t="s">
        <v>29</v>
      </c>
      <c r="E96" s="17" t="s">
        <v>13</v>
      </c>
      <c r="F96" s="17" t="s">
        <v>10</v>
      </c>
      <c r="G96" s="17" t="str">
        <f>IF(C96="","",IFERROR(IF(INDEX(UnidadMedida!$B$1:$B$30,MATCH(C96,UnidadMedida!$A$1:$A$30,0))="","",INDEX(UnidadMedida!$B$1:$B$30,MATCH(C96,UnidadMedida!$A$1:$A$30,0))),""))</f>
        <v>m</v>
      </c>
      <c r="H96" s="17" t="s">
        <v>124</v>
      </c>
      <c r="I96" s="17"/>
      <c r="J96" s="17"/>
      <c r="K96" s="17"/>
      <c r="L96" s="17"/>
      <c r="M96" s="17"/>
      <c r="N96" s="17"/>
      <c r="O96" s="17"/>
      <c r="P96" s="17"/>
    </row>
    <row r="97" spans="1:16" x14ac:dyDescent="0.25">
      <c r="A97" s="17">
        <v>96</v>
      </c>
      <c r="B97" s="17" t="s">
        <v>78</v>
      </c>
      <c r="C97" s="17" t="s">
        <v>36</v>
      </c>
      <c r="D97" s="17" t="s">
        <v>29</v>
      </c>
      <c r="E97" s="17" t="s">
        <v>18</v>
      </c>
      <c r="F97" s="17" t="s">
        <v>10</v>
      </c>
      <c r="G97" s="17" t="str">
        <f>IF(C97="","",IFERROR(IF(INDEX(UnidadMedida!$B$1:$B$30,MATCH(C97,UnidadMedida!$A$1:$A$30,0))="","",INDEX(UnidadMedida!$B$1:$B$30,MATCH(C97,UnidadMedida!$A$1:$A$30,0))),""))</f>
        <v>m</v>
      </c>
      <c r="H97" s="17" t="s">
        <v>124</v>
      </c>
      <c r="I97" s="17"/>
      <c r="J97" s="17"/>
      <c r="K97" s="17"/>
      <c r="L97" s="17"/>
      <c r="M97" s="17"/>
      <c r="N97" s="17"/>
      <c r="O97" s="17"/>
      <c r="P97" s="17"/>
    </row>
    <row r="98" spans="1:16" x14ac:dyDescent="0.25">
      <c r="A98" s="17">
        <v>97</v>
      </c>
      <c r="B98" s="17" t="s">
        <v>78</v>
      </c>
      <c r="C98" s="17" t="s">
        <v>36</v>
      </c>
      <c r="D98" s="17" t="s">
        <v>29</v>
      </c>
      <c r="E98" s="17" t="s">
        <v>133</v>
      </c>
      <c r="F98" s="17" t="s">
        <v>10</v>
      </c>
      <c r="G98" s="17" t="str">
        <f>IF(C98="","",IFERROR(IF(INDEX(UnidadMedida!$B$1:$B$30,MATCH(C98,UnidadMedida!$A$1:$A$30,0))="","",INDEX(UnidadMedida!$B$1:$B$30,MATCH(C98,UnidadMedida!$A$1:$A$30,0))),""))</f>
        <v>m</v>
      </c>
      <c r="H98" s="17" t="s">
        <v>122</v>
      </c>
      <c r="I98" s="17"/>
      <c r="J98" s="17"/>
      <c r="K98" s="17"/>
      <c r="L98" s="17"/>
      <c r="M98" s="17"/>
      <c r="N98" s="17"/>
      <c r="O98" s="17"/>
      <c r="P98" s="17"/>
    </row>
    <row r="99" spans="1:16" x14ac:dyDescent="0.25">
      <c r="A99" s="17">
        <v>98</v>
      </c>
      <c r="B99" s="17" t="s">
        <v>78</v>
      </c>
      <c r="C99" s="17" t="s">
        <v>36</v>
      </c>
      <c r="D99" s="17" t="s">
        <v>29</v>
      </c>
      <c r="E99" s="17" t="s">
        <v>19</v>
      </c>
      <c r="F99" s="17" t="s">
        <v>10</v>
      </c>
      <c r="G99" s="17" t="str">
        <f>IF(C99="","",IFERROR(IF(INDEX(UnidadMedida!$B$1:$B$30,MATCH(C99,UnidadMedida!$A$1:$A$30,0))="","",INDEX(UnidadMedida!$B$1:$B$30,MATCH(C99,UnidadMedida!$A$1:$A$30,0))),""))</f>
        <v>m</v>
      </c>
      <c r="H99" s="17" t="s">
        <v>124</v>
      </c>
      <c r="I99" s="17"/>
      <c r="J99" s="17"/>
      <c r="K99" s="17"/>
      <c r="L99" s="17"/>
      <c r="M99" s="17"/>
      <c r="N99" s="17"/>
      <c r="O99" s="17"/>
      <c r="P99" s="17"/>
    </row>
    <row r="100" spans="1:16" x14ac:dyDescent="0.25">
      <c r="A100" s="17">
        <v>99</v>
      </c>
      <c r="B100" s="17" t="s">
        <v>78</v>
      </c>
      <c r="C100" s="17" t="s">
        <v>79</v>
      </c>
      <c r="D100" s="17" t="s">
        <v>120</v>
      </c>
      <c r="E100" s="17" t="s">
        <v>20</v>
      </c>
      <c r="F100" s="17" t="s">
        <v>10</v>
      </c>
      <c r="G100" s="17" t="str">
        <f>IF(C100="","",IFERROR(IF(INDEX(UnidadMedida!$B$1:$B$30,MATCH(C100,UnidadMedida!$A$1:$A$30,0))="","",INDEX(UnidadMedida!$B$1:$B$30,MATCH(C100,UnidadMedida!$A$1:$A$30,0))),""))</f>
        <v/>
      </c>
      <c r="H100" s="17"/>
      <c r="I100" s="17"/>
      <c r="J100" s="17"/>
      <c r="K100" s="17"/>
      <c r="L100" s="17"/>
      <c r="M100" s="17"/>
      <c r="N100" s="17"/>
      <c r="O100" s="17"/>
      <c r="P100" s="17"/>
    </row>
    <row r="101" spans="1:16" x14ac:dyDescent="0.25">
      <c r="A101" s="17">
        <v>100</v>
      </c>
      <c r="B101" s="17" t="s">
        <v>78</v>
      </c>
      <c r="C101" s="17" t="s">
        <v>25</v>
      </c>
      <c r="D101" s="17" t="s">
        <v>8</v>
      </c>
      <c r="E101" s="17" t="s">
        <v>26</v>
      </c>
      <c r="F101" s="17" t="s">
        <v>10</v>
      </c>
      <c r="G101" s="17" t="str">
        <f>IF(C101="","",IFERROR(IF(INDEX(UnidadMedida!$B$1:$B$30,MATCH(C101,UnidadMedida!$A$1:$A$30,0))="","",INDEX(UnidadMedida!$B$1:$B$30,MATCH(C101,UnidadMedida!$A$1:$A$30,0))),""))</f>
        <v>m/s/m</v>
      </c>
      <c r="H101" s="17"/>
      <c r="I101" s="17"/>
      <c r="J101" s="17"/>
      <c r="K101" s="17"/>
      <c r="L101" s="17"/>
      <c r="M101" s="17"/>
      <c r="N101" s="17"/>
      <c r="O101" s="17"/>
      <c r="P101" s="17"/>
    </row>
    <row r="102" spans="1:16" x14ac:dyDescent="0.25">
      <c r="A102" s="17">
        <v>101</v>
      </c>
      <c r="B102" s="17" t="s">
        <v>78</v>
      </c>
      <c r="C102" s="17" t="s">
        <v>25</v>
      </c>
      <c r="D102" s="17" t="s">
        <v>8</v>
      </c>
      <c r="E102" s="17" t="s">
        <v>31</v>
      </c>
      <c r="F102" s="17" t="s">
        <v>10</v>
      </c>
      <c r="G102" s="17" t="str">
        <f>IF(C102="","",IFERROR(IF(INDEX(UnidadMedida!$B$1:$B$30,MATCH(C102,UnidadMedida!$A$1:$A$30,0))="","",INDEX(UnidadMedida!$B$1:$B$30,MATCH(C102,UnidadMedida!$A$1:$A$30,0))),""))</f>
        <v>m/s/m</v>
      </c>
      <c r="H102" s="17"/>
      <c r="I102" s="17"/>
      <c r="J102" s="17"/>
      <c r="K102" s="17"/>
      <c r="L102" s="17"/>
      <c r="M102" s="17"/>
      <c r="N102" s="17"/>
      <c r="O102" s="17"/>
      <c r="P102" s="17"/>
    </row>
    <row r="103" spans="1:16" x14ac:dyDescent="0.25">
      <c r="A103" s="17">
        <v>102</v>
      </c>
      <c r="B103" s="17" t="s">
        <v>78</v>
      </c>
      <c r="C103" s="17" t="s">
        <v>43</v>
      </c>
      <c r="D103" s="17" t="s">
        <v>44</v>
      </c>
      <c r="E103" s="17" t="s">
        <v>45</v>
      </c>
      <c r="F103" s="17" t="s">
        <v>10</v>
      </c>
      <c r="G103" s="17" t="str">
        <f>IF(C103="","",IFERROR(IF(INDEX(UnidadMedida!$B$1:$B$30,MATCH(C103,UnidadMedida!$A$1:$A$30,0))="","",INDEX(UnidadMedida!$B$1:$B$30,MATCH(C103,UnidadMedida!$A$1:$A$30,0))),""))</f>
        <v>m</v>
      </c>
      <c r="H103" s="17"/>
      <c r="I103" s="17"/>
      <c r="J103" s="17"/>
      <c r="K103" s="17"/>
      <c r="L103" s="17"/>
      <c r="M103" s="17"/>
      <c r="N103" s="17"/>
      <c r="O103" s="17"/>
      <c r="P103" s="17"/>
    </row>
    <row r="104" spans="1:16" x14ac:dyDescent="0.25">
      <c r="A104" s="17">
        <v>103</v>
      </c>
      <c r="B104" s="17" t="s">
        <v>78</v>
      </c>
      <c r="C104" s="17" t="s">
        <v>43</v>
      </c>
      <c r="D104" s="17" t="s">
        <v>44</v>
      </c>
      <c r="E104" s="17" t="s">
        <v>46</v>
      </c>
      <c r="F104" s="17" t="s">
        <v>10</v>
      </c>
      <c r="G104" s="17" t="str">
        <f>IF(C104="","",IFERROR(IF(INDEX(UnidadMedida!$B$1:$B$30,MATCH(C104,UnidadMedida!$A$1:$A$30,0))="","",INDEX(UnidadMedida!$B$1:$B$30,MATCH(C104,UnidadMedida!$A$1:$A$30,0))),""))</f>
        <v>m</v>
      </c>
      <c r="H104" s="17"/>
      <c r="I104" s="17"/>
      <c r="J104" s="17"/>
      <c r="K104" s="17"/>
      <c r="L104" s="17"/>
      <c r="M104" s="17"/>
      <c r="N104" s="17"/>
      <c r="O104" s="17"/>
      <c r="P104" s="17"/>
    </row>
    <row r="105" spans="1:16" x14ac:dyDescent="0.25">
      <c r="A105" s="17">
        <v>104</v>
      </c>
      <c r="B105" s="17" t="s">
        <v>78</v>
      </c>
      <c r="C105" s="17" t="s">
        <v>80</v>
      </c>
      <c r="D105" s="17" t="s">
        <v>60</v>
      </c>
      <c r="E105" s="17" t="s">
        <v>46</v>
      </c>
      <c r="F105" s="17" t="s">
        <v>10</v>
      </c>
      <c r="G105" s="17" t="str">
        <f>IF(C105="","",IFERROR(IF(INDEX(UnidadMedida!$B$1:$B$30,MATCH(C105,UnidadMedida!$A$1:$A$30,0))="","",INDEX(UnidadMedida!$B$1:$B$30,MATCH(C105,UnidadMedida!$A$1:$A$30,0))),""))</f>
        <v/>
      </c>
      <c r="H105" s="17"/>
      <c r="I105" s="17"/>
      <c r="J105" s="17"/>
      <c r="K105" s="17"/>
      <c r="L105" s="17"/>
      <c r="M105" s="17"/>
      <c r="N105" s="17"/>
      <c r="O105" s="17"/>
      <c r="P105" s="17"/>
    </row>
    <row r="106" spans="1:16" x14ac:dyDescent="0.25">
      <c r="A106" s="17">
        <v>105</v>
      </c>
      <c r="B106" s="17" t="s">
        <v>78</v>
      </c>
      <c r="C106" s="17" t="s">
        <v>43</v>
      </c>
      <c r="D106" s="17" t="s">
        <v>44</v>
      </c>
      <c r="E106" s="17" t="s">
        <v>47</v>
      </c>
      <c r="F106" s="17" t="s">
        <v>10</v>
      </c>
      <c r="G106" s="17" t="str">
        <f>IF(C106="","",IFERROR(IF(INDEX(UnidadMedida!$B$1:$B$30,MATCH(C106,UnidadMedida!$A$1:$A$30,0))="","",INDEX(UnidadMedida!$B$1:$B$30,MATCH(C106,UnidadMedida!$A$1:$A$30,0))),""))</f>
        <v>m</v>
      </c>
      <c r="H106" s="17"/>
      <c r="I106" s="17"/>
      <c r="J106" s="17"/>
      <c r="K106" s="17"/>
      <c r="L106" s="17"/>
      <c r="M106" s="17"/>
      <c r="N106" s="17"/>
      <c r="O106" s="17"/>
      <c r="P106" s="17"/>
    </row>
    <row r="107" spans="1:16" x14ac:dyDescent="0.25">
      <c r="A107" s="17">
        <v>106</v>
      </c>
      <c r="B107" s="17" t="s">
        <v>78</v>
      </c>
      <c r="C107" s="17" t="s">
        <v>43</v>
      </c>
      <c r="D107" s="17" t="s">
        <v>44</v>
      </c>
      <c r="E107" s="17" t="s">
        <v>48</v>
      </c>
      <c r="F107" s="17" t="s">
        <v>10</v>
      </c>
      <c r="G107" s="17" t="str">
        <f>IF(C107="","",IFERROR(IF(INDEX(UnidadMedida!$B$1:$B$30,MATCH(C107,UnidadMedida!$A$1:$A$30,0))="","",INDEX(UnidadMedida!$B$1:$B$30,MATCH(C107,UnidadMedida!$A$1:$A$30,0))),""))</f>
        <v>m</v>
      </c>
      <c r="H107" s="17"/>
      <c r="I107" s="17"/>
      <c r="J107" s="17"/>
      <c r="K107" s="17"/>
      <c r="L107" s="17"/>
      <c r="M107" s="17"/>
      <c r="N107" s="17"/>
      <c r="O107" s="17"/>
      <c r="P107" s="17"/>
    </row>
    <row r="108" spans="1:16" x14ac:dyDescent="0.25">
      <c r="A108" s="17">
        <v>107</v>
      </c>
      <c r="B108" s="17" t="s">
        <v>78</v>
      </c>
      <c r="C108" s="17" t="s">
        <v>43</v>
      </c>
      <c r="D108" s="17" t="s">
        <v>44</v>
      </c>
      <c r="E108" s="17" t="s">
        <v>49</v>
      </c>
      <c r="F108" s="17" t="s">
        <v>10</v>
      </c>
      <c r="G108" s="17" t="str">
        <f>IF(C108="","",IFERROR(IF(INDEX(UnidadMedida!$B$1:$B$30,MATCH(C108,UnidadMedida!$A$1:$A$30,0))="","",INDEX(UnidadMedida!$B$1:$B$30,MATCH(C108,UnidadMedida!$A$1:$A$30,0))),""))</f>
        <v>m</v>
      </c>
      <c r="H108" s="17"/>
      <c r="I108" s="17"/>
      <c r="J108" s="17"/>
      <c r="K108" s="17"/>
      <c r="L108" s="17"/>
      <c r="M108" s="17"/>
      <c r="N108" s="17"/>
      <c r="O108" s="17"/>
      <c r="P108" s="17"/>
    </row>
    <row r="109" spans="1:16" x14ac:dyDescent="0.25">
      <c r="A109" s="17">
        <v>108</v>
      </c>
      <c r="B109" s="17" t="s">
        <v>78</v>
      </c>
      <c r="C109" s="17" t="s">
        <v>81</v>
      </c>
      <c r="D109" s="17" t="s">
        <v>44</v>
      </c>
      <c r="E109" s="17" t="s">
        <v>50</v>
      </c>
      <c r="F109" s="17" t="s">
        <v>10</v>
      </c>
      <c r="G109" s="17" t="str">
        <f>IF(C109="","",IFERROR(IF(INDEX(UnidadMedida!$B$1:$B$30,MATCH(C109,UnidadMedida!$A$1:$A$30,0))="","",INDEX(UnidadMedida!$B$1:$B$30,MATCH(C109,UnidadMedida!$A$1:$A$30,0))),""))</f>
        <v/>
      </c>
      <c r="H109" s="17"/>
      <c r="I109" s="17"/>
      <c r="J109" s="17"/>
      <c r="K109" s="17"/>
      <c r="L109" s="17"/>
      <c r="M109" s="17"/>
      <c r="N109" s="17"/>
      <c r="O109" s="17"/>
      <c r="P109" s="17"/>
    </row>
    <row r="110" spans="1:16" x14ac:dyDescent="0.25">
      <c r="A110" s="17">
        <v>109</v>
      </c>
      <c r="B110" s="17" t="s">
        <v>78</v>
      </c>
      <c r="C110" s="17" t="s">
        <v>43</v>
      </c>
      <c r="D110" s="17" t="s">
        <v>44</v>
      </c>
      <c r="E110" s="17" t="s">
        <v>51</v>
      </c>
      <c r="F110" s="17" t="s">
        <v>10</v>
      </c>
      <c r="G110" s="17" t="str">
        <f>IF(C110="","",IFERROR(IF(INDEX(UnidadMedida!$B$1:$B$30,MATCH(C110,UnidadMedida!$A$1:$A$30,0))="","",INDEX(UnidadMedida!$B$1:$B$30,MATCH(C110,UnidadMedida!$A$1:$A$30,0))),""))</f>
        <v>m</v>
      </c>
      <c r="H110" s="17"/>
      <c r="I110" s="17"/>
      <c r="J110" s="17"/>
      <c r="K110" s="17"/>
      <c r="L110" s="17"/>
      <c r="M110" s="17"/>
      <c r="N110" s="17"/>
      <c r="O110" s="17"/>
      <c r="P110" s="17"/>
    </row>
    <row r="111" spans="1:16" x14ac:dyDescent="0.25">
      <c r="A111" s="17">
        <v>110</v>
      </c>
      <c r="B111" s="17" t="s">
        <v>78</v>
      </c>
      <c r="C111" s="17" t="s">
        <v>43</v>
      </c>
      <c r="D111" s="17" t="s">
        <v>44</v>
      </c>
      <c r="E111" s="17" t="s">
        <v>82</v>
      </c>
      <c r="F111" s="17" t="s">
        <v>10</v>
      </c>
      <c r="G111" s="17" t="str">
        <f>IF(C111="","",IFERROR(IF(INDEX(UnidadMedida!$B$1:$B$30,MATCH(C111,UnidadMedida!$A$1:$A$30,0))="","",INDEX(UnidadMedida!$B$1:$B$30,MATCH(C111,UnidadMedida!$A$1:$A$30,0))),""))</f>
        <v>m</v>
      </c>
      <c r="H111" s="17"/>
      <c r="I111" s="17"/>
      <c r="J111" s="17"/>
      <c r="K111" s="17"/>
      <c r="L111" s="17"/>
      <c r="M111" s="17"/>
      <c r="N111" s="17"/>
      <c r="O111" s="17"/>
      <c r="P111" s="17"/>
    </row>
    <row r="112" spans="1:16" x14ac:dyDescent="0.25">
      <c r="A112" s="17">
        <v>111</v>
      </c>
      <c r="B112" s="17" t="s">
        <v>78</v>
      </c>
      <c r="C112" s="17" t="s">
        <v>43</v>
      </c>
      <c r="D112" s="17" t="s">
        <v>44</v>
      </c>
      <c r="E112" s="17" t="s">
        <v>52</v>
      </c>
      <c r="F112" s="17" t="s">
        <v>10</v>
      </c>
      <c r="G112" s="17" t="str">
        <f>IF(C112="","",IFERROR(IF(INDEX(UnidadMedida!$B$1:$B$30,MATCH(C112,UnidadMedida!$A$1:$A$30,0))="","",INDEX(UnidadMedida!$B$1:$B$30,MATCH(C112,UnidadMedida!$A$1:$A$30,0))),""))</f>
        <v>m</v>
      </c>
      <c r="H112" s="17"/>
      <c r="I112" s="17"/>
      <c r="J112" s="17"/>
      <c r="K112" s="17"/>
      <c r="L112" s="17"/>
      <c r="M112" s="17"/>
      <c r="N112" s="17"/>
      <c r="O112" s="17"/>
      <c r="P112" s="17"/>
    </row>
    <row r="113" spans="1:16" x14ac:dyDescent="0.25">
      <c r="A113" s="17">
        <v>112</v>
      </c>
      <c r="B113" s="17" t="s">
        <v>78</v>
      </c>
      <c r="C113" s="17" t="s">
        <v>83</v>
      </c>
      <c r="D113" s="17" t="s">
        <v>60</v>
      </c>
      <c r="E113" s="17" t="s">
        <v>52</v>
      </c>
      <c r="F113" s="17" t="s">
        <v>10</v>
      </c>
      <c r="G113" s="17" t="str">
        <f>IF(C113="","",IFERROR(IF(INDEX(UnidadMedida!$B$1:$B$30,MATCH(C113,UnidadMedida!$A$1:$A$30,0))="","",INDEX(UnidadMedida!$B$1:$B$30,MATCH(C113,UnidadMedida!$A$1:$A$30,0))),""))</f>
        <v/>
      </c>
      <c r="H113" s="17"/>
      <c r="I113" s="17"/>
      <c r="J113" s="17"/>
      <c r="K113" s="17"/>
      <c r="L113" s="17"/>
      <c r="M113" s="17"/>
      <c r="N113" s="17"/>
      <c r="O113" s="17"/>
      <c r="P113" s="17"/>
    </row>
    <row r="114" spans="1:16" x14ac:dyDescent="0.25">
      <c r="A114" s="17">
        <v>113</v>
      </c>
      <c r="B114" s="17" t="s">
        <v>78</v>
      </c>
      <c r="C114" s="17" t="s">
        <v>43</v>
      </c>
      <c r="D114" s="17" t="s">
        <v>44</v>
      </c>
      <c r="E114" s="17" t="s">
        <v>53</v>
      </c>
      <c r="F114" s="17" t="s">
        <v>10</v>
      </c>
      <c r="G114" s="17" t="str">
        <f>IF(C114="","",IFERROR(IF(INDEX(UnidadMedida!$B$1:$B$30,MATCH(C114,UnidadMedida!$A$1:$A$30,0))="","",INDEX(UnidadMedida!$B$1:$B$30,MATCH(C114,UnidadMedida!$A$1:$A$30,0))),""))</f>
        <v>m</v>
      </c>
      <c r="H114" s="17"/>
      <c r="I114" s="17"/>
      <c r="J114" s="17"/>
      <c r="K114" s="17"/>
      <c r="L114" s="17"/>
      <c r="M114" s="17"/>
      <c r="N114" s="17"/>
      <c r="O114" s="17"/>
      <c r="P114" s="17"/>
    </row>
    <row r="115" spans="1:16" x14ac:dyDescent="0.25">
      <c r="A115" s="17">
        <v>114</v>
      </c>
      <c r="B115" s="17" t="s">
        <v>78</v>
      </c>
      <c r="C115" s="17" t="s">
        <v>83</v>
      </c>
      <c r="D115" s="17" t="s">
        <v>60</v>
      </c>
      <c r="E115" s="17" t="s">
        <v>53</v>
      </c>
      <c r="F115" s="17" t="s">
        <v>10</v>
      </c>
      <c r="G115" s="17" t="str">
        <f>IF(C115="","",IFERROR(IF(INDEX(UnidadMedida!$B$1:$B$30,MATCH(C115,UnidadMedida!$A$1:$A$30,0))="","",INDEX(UnidadMedida!$B$1:$B$30,MATCH(C115,UnidadMedida!$A$1:$A$30,0))),""))</f>
        <v/>
      </c>
      <c r="H115" s="17"/>
      <c r="I115" s="17"/>
      <c r="J115" s="17"/>
      <c r="K115" s="17"/>
      <c r="L115" s="17"/>
      <c r="M115" s="17"/>
      <c r="N115" s="17"/>
      <c r="O115" s="17"/>
      <c r="P115" s="17"/>
    </row>
    <row r="116" spans="1:16" x14ac:dyDescent="0.25">
      <c r="A116" s="17">
        <v>115</v>
      </c>
      <c r="B116" s="17" t="s">
        <v>78</v>
      </c>
      <c r="C116" s="17" t="s">
        <v>43</v>
      </c>
      <c r="D116" s="17" t="s">
        <v>44</v>
      </c>
      <c r="E116" s="17" t="s">
        <v>54</v>
      </c>
      <c r="F116" s="17" t="s">
        <v>10</v>
      </c>
      <c r="G116" s="17" t="str">
        <f>IF(C116="","",IFERROR(IF(INDEX(UnidadMedida!$B$1:$B$30,MATCH(C116,UnidadMedida!$A$1:$A$30,0))="","",INDEX(UnidadMedida!$B$1:$B$30,MATCH(C116,UnidadMedida!$A$1:$A$30,0))),""))</f>
        <v>m</v>
      </c>
      <c r="H116" s="17"/>
      <c r="I116" s="17"/>
      <c r="J116" s="17"/>
      <c r="K116" s="17"/>
      <c r="L116" s="17"/>
      <c r="M116" s="17"/>
      <c r="N116" s="17"/>
      <c r="O116" s="17"/>
      <c r="P116" s="17"/>
    </row>
    <row r="117" spans="1:16" x14ac:dyDescent="0.25">
      <c r="A117" s="17">
        <v>116</v>
      </c>
      <c r="B117" s="17" t="s">
        <v>78</v>
      </c>
      <c r="C117" s="17" t="s">
        <v>84</v>
      </c>
      <c r="D117" s="17" t="s">
        <v>12</v>
      </c>
      <c r="E117" s="17" t="s">
        <v>54</v>
      </c>
      <c r="F117" s="17" t="s">
        <v>10</v>
      </c>
      <c r="G117" s="17" t="str">
        <f>IF(C117="","",IFERROR(IF(INDEX(UnidadMedida!$B$1:$B$30,MATCH(C117,UnidadMedida!$A$1:$A$30,0))="","",INDEX(UnidadMedida!$B$1:$B$30,MATCH(C117,UnidadMedida!$A$1:$A$30,0))),""))</f>
        <v/>
      </c>
      <c r="H117" s="17"/>
      <c r="I117" s="17"/>
      <c r="J117" s="17"/>
      <c r="K117" s="17"/>
      <c r="L117" s="17"/>
      <c r="M117" s="17"/>
      <c r="N117" s="17"/>
      <c r="O117" s="17"/>
      <c r="P117" s="17"/>
    </row>
    <row r="118" spans="1:16" x14ac:dyDescent="0.25">
      <c r="A118" s="17">
        <v>117</v>
      </c>
      <c r="B118" s="17" t="s">
        <v>78</v>
      </c>
      <c r="C118" s="17" t="s">
        <v>85</v>
      </c>
      <c r="D118" s="17" t="s">
        <v>60</v>
      </c>
      <c r="E118" s="17" t="s">
        <v>54</v>
      </c>
      <c r="F118" s="17" t="s">
        <v>10</v>
      </c>
      <c r="G118" s="17" t="str">
        <f>IF(C118="","",IFERROR(IF(INDEX(UnidadMedida!$B$1:$B$30,MATCH(C118,UnidadMedida!$A$1:$A$30,0))="","",INDEX(UnidadMedida!$B$1:$B$30,MATCH(C118,UnidadMedida!$A$1:$A$30,0))),""))</f>
        <v/>
      </c>
      <c r="H118" s="17"/>
      <c r="I118" s="17"/>
      <c r="J118" s="17"/>
      <c r="K118" s="17"/>
      <c r="L118" s="17"/>
      <c r="M118" s="17"/>
      <c r="N118" s="17"/>
      <c r="O118" s="17"/>
      <c r="P118" s="17"/>
    </row>
    <row r="119" spans="1:16" x14ac:dyDescent="0.25">
      <c r="A119" s="17">
        <v>118</v>
      </c>
      <c r="B119" s="17" t="s">
        <v>78</v>
      </c>
      <c r="C119" s="17" t="s">
        <v>43</v>
      </c>
      <c r="D119" s="17" t="s">
        <v>44</v>
      </c>
      <c r="E119" s="17" t="s">
        <v>62</v>
      </c>
      <c r="F119" s="17" t="s">
        <v>10</v>
      </c>
      <c r="G119" s="17" t="str">
        <f>IF(C119="","",IFERROR(IF(INDEX(UnidadMedida!$B$1:$B$30,MATCH(C119,UnidadMedida!$A$1:$A$30,0))="","",INDEX(UnidadMedida!$B$1:$B$30,MATCH(C119,UnidadMedida!$A$1:$A$30,0))),""))</f>
        <v>m</v>
      </c>
      <c r="H119" s="17"/>
      <c r="I119" s="17"/>
      <c r="J119" s="17"/>
      <c r="K119" s="17"/>
      <c r="L119" s="17"/>
      <c r="M119" s="17"/>
      <c r="N119" s="17"/>
      <c r="O119" s="17"/>
      <c r="P119" s="17"/>
    </row>
    <row r="120" spans="1:16" x14ac:dyDescent="0.25">
      <c r="A120" s="17">
        <v>119</v>
      </c>
      <c r="B120" s="17" t="s">
        <v>78</v>
      </c>
      <c r="C120" s="17" t="s">
        <v>84</v>
      </c>
      <c r="D120" s="17" t="s">
        <v>12</v>
      </c>
      <c r="E120" s="17" t="s">
        <v>62</v>
      </c>
      <c r="F120" s="17" t="s">
        <v>10</v>
      </c>
      <c r="G120" s="17" t="str">
        <f>IF(C120="","",IFERROR(IF(INDEX(UnidadMedida!$B$1:$B$30,MATCH(C120,UnidadMedida!$A$1:$A$30,0))="","",INDEX(UnidadMedida!$B$1:$B$30,MATCH(C120,UnidadMedida!$A$1:$A$30,0))),""))</f>
        <v/>
      </c>
      <c r="H120" s="17"/>
      <c r="I120" s="17"/>
      <c r="J120" s="17"/>
      <c r="K120" s="17"/>
      <c r="L120" s="17"/>
      <c r="M120" s="17"/>
      <c r="N120" s="17"/>
      <c r="O120" s="17"/>
      <c r="P120" s="17"/>
    </row>
    <row r="121" spans="1:16" x14ac:dyDescent="0.25">
      <c r="A121" s="17">
        <v>120</v>
      </c>
      <c r="B121" s="17" t="s">
        <v>78</v>
      </c>
      <c r="C121" s="17" t="s">
        <v>86</v>
      </c>
      <c r="D121" s="17" t="s">
        <v>60</v>
      </c>
      <c r="E121" s="17" t="s">
        <v>62</v>
      </c>
      <c r="F121" s="17" t="s">
        <v>10</v>
      </c>
      <c r="G121" s="17" t="str">
        <f>IF(C121="","",IFERROR(IF(INDEX(UnidadMedida!$B$1:$B$30,MATCH(C121,UnidadMedida!$A$1:$A$30,0))="","",INDEX(UnidadMedida!$B$1:$B$30,MATCH(C121,UnidadMedida!$A$1:$A$30,0))),""))</f>
        <v>°C</v>
      </c>
      <c r="H121" s="17"/>
      <c r="I121" s="17"/>
      <c r="J121" s="17"/>
      <c r="K121" s="17"/>
      <c r="L121" s="17"/>
      <c r="M121" s="17"/>
      <c r="N121" s="17"/>
      <c r="O121" s="17"/>
      <c r="P121" s="17"/>
    </row>
    <row r="122" spans="1:16" x14ac:dyDescent="0.25">
      <c r="A122" s="17">
        <v>121</v>
      </c>
      <c r="B122" s="17" t="s">
        <v>78</v>
      </c>
      <c r="C122" s="17" t="s">
        <v>43</v>
      </c>
      <c r="D122" s="17" t="s">
        <v>44</v>
      </c>
      <c r="E122" s="17" t="s">
        <v>63</v>
      </c>
      <c r="F122" s="17" t="s">
        <v>10</v>
      </c>
      <c r="G122" s="17" t="str">
        <f>IF(C122="","",IFERROR(IF(INDEX(UnidadMedida!$B$1:$B$30,MATCH(C122,UnidadMedida!$A$1:$A$30,0))="","",INDEX(UnidadMedida!$B$1:$B$30,MATCH(C122,UnidadMedida!$A$1:$A$30,0))),""))</f>
        <v>m</v>
      </c>
      <c r="H122" s="17"/>
      <c r="I122" s="17"/>
      <c r="J122" s="17"/>
      <c r="K122" s="17"/>
      <c r="L122" s="17"/>
      <c r="M122" s="17"/>
      <c r="N122" s="17"/>
      <c r="O122" s="17"/>
      <c r="P122" s="17"/>
    </row>
    <row r="123" spans="1:16" x14ac:dyDescent="0.25">
      <c r="A123" s="17">
        <v>122</v>
      </c>
      <c r="B123" s="17" t="s">
        <v>78</v>
      </c>
      <c r="C123" s="17" t="s">
        <v>84</v>
      </c>
      <c r="D123" s="17" t="s">
        <v>12</v>
      </c>
      <c r="E123" s="17" t="s">
        <v>63</v>
      </c>
      <c r="F123" s="17" t="s">
        <v>10</v>
      </c>
      <c r="G123" s="17" t="str">
        <f>IF(C123="","",IFERROR(IF(INDEX(UnidadMedida!$B$1:$B$30,MATCH(C123,UnidadMedida!$A$1:$A$30,0))="","",INDEX(UnidadMedida!$B$1:$B$30,MATCH(C123,UnidadMedida!$A$1:$A$30,0))),""))</f>
        <v/>
      </c>
      <c r="H123" s="17"/>
      <c r="I123" s="17"/>
      <c r="J123" s="17"/>
      <c r="K123" s="17"/>
      <c r="L123" s="17"/>
      <c r="M123" s="17"/>
      <c r="N123" s="17"/>
      <c r="O123" s="17"/>
      <c r="P123" s="17"/>
    </row>
    <row r="124" spans="1:16" x14ac:dyDescent="0.25">
      <c r="A124" s="17">
        <v>123</v>
      </c>
      <c r="B124" s="17" t="s">
        <v>78</v>
      </c>
      <c r="C124" s="17" t="s">
        <v>87</v>
      </c>
      <c r="D124" s="17" t="s">
        <v>44</v>
      </c>
      <c r="E124" s="17" t="s">
        <v>88</v>
      </c>
      <c r="F124" s="17" t="s">
        <v>10</v>
      </c>
      <c r="G124" s="17" t="str">
        <f>IF(C124="","",IFERROR(IF(INDEX(UnidadMedida!$B$1:$B$30,MATCH(C124,UnidadMedida!$A$1:$A$30,0))="","",INDEX(UnidadMedida!$B$1:$B$30,MATCH(C124,UnidadMedida!$A$1:$A$30,0))),""))</f>
        <v/>
      </c>
      <c r="H124" s="17"/>
      <c r="I124" s="17"/>
      <c r="J124" s="17"/>
      <c r="K124" s="17"/>
      <c r="L124" s="17"/>
      <c r="M124" s="17"/>
      <c r="N124" s="17"/>
      <c r="O124" s="17"/>
      <c r="P124" s="17"/>
    </row>
    <row r="125" spans="1:16" x14ac:dyDescent="0.25">
      <c r="A125" s="17">
        <v>124</v>
      </c>
      <c r="B125" s="17" t="s">
        <v>78</v>
      </c>
      <c r="C125" s="17" t="s">
        <v>84</v>
      </c>
      <c r="D125" s="17" t="s">
        <v>12</v>
      </c>
      <c r="E125" s="17" t="s">
        <v>64</v>
      </c>
      <c r="F125" s="17" t="s">
        <v>10</v>
      </c>
      <c r="G125" s="17" t="str">
        <f>IF(C125="","",IFERROR(IF(INDEX(UnidadMedida!$B$1:$B$30,MATCH(C125,UnidadMedida!$A$1:$A$30,0))="","",INDEX(UnidadMedida!$B$1:$B$30,MATCH(C125,UnidadMedida!$A$1:$A$30,0))),""))</f>
        <v/>
      </c>
      <c r="H125" s="17"/>
      <c r="I125" s="17"/>
      <c r="J125" s="17"/>
      <c r="K125" s="17"/>
      <c r="L125" s="17"/>
      <c r="M125" s="17"/>
      <c r="N125" s="17"/>
      <c r="O125" s="17"/>
      <c r="P125" s="17"/>
    </row>
    <row r="126" spans="1:16" x14ac:dyDescent="0.25">
      <c r="A126" s="17">
        <v>125</v>
      </c>
      <c r="B126" s="17" t="s">
        <v>78</v>
      </c>
      <c r="C126" s="17" t="s">
        <v>43</v>
      </c>
      <c r="D126" s="17" t="s">
        <v>44</v>
      </c>
      <c r="E126" s="17" t="s">
        <v>89</v>
      </c>
      <c r="F126" s="17" t="s">
        <v>10</v>
      </c>
      <c r="G126" s="17" t="str">
        <f>IF(C126="","",IFERROR(IF(INDEX(UnidadMedida!$B$1:$B$30,MATCH(C126,UnidadMedida!$A$1:$A$30,0))="","",INDEX(UnidadMedida!$B$1:$B$30,MATCH(C126,UnidadMedida!$A$1:$A$30,0))),""))</f>
        <v>m</v>
      </c>
      <c r="H126" s="17"/>
      <c r="I126" s="17"/>
      <c r="J126" s="17"/>
      <c r="K126" s="17"/>
      <c r="L126" s="17"/>
      <c r="M126" s="17"/>
      <c r="N126" s="17"/>
      <c r="O126" s="17"/>
      <c r="P126" s="17"/>
    </row>
    <row r="127" spans="1:16" x14ac:dyDescent="0.25">
      <c r="A127" s="17">
        <v>126</v>
      </c>
      <c r="B127" s="17" t="s">
        <v>78</v>
      </c>
      <c r="C127" s="17" t="s">
        <v>84</v>
      </c>
      <c r="D127" s="17" t="s">
        <v>12</v>
      </c>
      <c r="E127" s="17" t="s">
        <v>89</v>
      </c>
      <c r="F127" s="17" t="s">
        <v>10</v>
      </c>
      <c r="G127" s="17" t="str">
        <f>IF(C127="","",IFERROR(IF(INDEX(UnidadMedida!$B$1:$B$30,MATCH(C127,UnidadMedida!$A$1:$A$30,0))="","",INDEX(UnidadMedida!$B$1:$B$30,MATCH(C127,UnidadMedida!$A$1:$A$30,0))),""))</f>
        <v/>
      </c>
      <c r="H127" s="17"/>
      <c r="I127" s="17"/>
      <c r="J127" s="17"/>
      <c r="K127" s="17"/>
      <c r="L127" s="17"/>
      <c r="M127" s="17"/>
      <c r="N127" s="17"/>
      <c r="O127" s="17"/>
      <c r="P127" s="17"/>
    </row>
    <row r="128" spans="1:16" x14ac:dyDescent="0.25">
      <c r="A128" s="17">
        <v>127</v>
      </c>
      <c r="B128" s="17" t="s">
        <v>78</v>
      </c>
      <c r="C128" s="17" t="s">
        <v>43</v>
      </c>
      <c r="D128" s="17" t="s">
        <v>44</v>
      </c>
      <c r="E128" s="17" t="s">
        <v>90</v>
      </c>
      <c r="F128" s="17" t="s">
        <v>10</v>
      </c>
      <c r="G128" s="17" t="str">
        <f>IF(C128="","",IFERROR(IF(INDEX(UnidadMedida!$B$1:$B$30,MATCH(C128,UnidadMedida!$A$1:$A$30,0))="","",INDEX(UnidadMedida!$B$1:$B$30,MATCH(C128,UnidadMedida!$A$1:$A$30,0))),""))</f>
        <v>m</v>
      </c>
      <c r="H128" s="17"/>
      <c r="I128" s="17"/>
      <c r="J128" s="17"/>
      <c r="K128" s="17"/>
      <c r="L128" s="17"/>
      <c r="M128" s="17"/>
      <c r="N128" s="17"/>
      <c r="O128" s="17"/>
      <c r="P128" s="17"/>
    </row>
    <row r="129" spans="1:16" x14ac:dyDescent="0.25">
      <c r="A129" s="17">
        <v>128</v>
      </c>
      <c r="B129" s="17" t="s">
        <v>78</v>
      </c>
      <c r="C129" s="17" t="s">
        <v>84</v>
      </c>
      <c r="D129" s="17" t="s">
        <v>12</v>
      </c>
      <c r="E129" s="17" t="s">
        <v>90</v>
      </c>
      <c r="F129" s="17" t="s">
        <v>10</v>
      </c>
      <c r="G129" s="17" t="str">
        <f>IF(C129="","",IFERROR(IF(INDEX(UnidadMedida!$B$1:$B$30,MATCH(C129,UnidadMedida!$A$1:$A$30,0))="","",INDEX(UnidadMedida!$B$1:$B$30,MATCH(C129,UnidadMedida!$A$1:$A$30,0))),""))</f>
        <v/>
      </c>
      <c r="H129" s="17"/>
      <c r="I129" s="17"/>
      <c r="J129" s="17"/>
      <c r="K129" s="17"/>
      <c r="L129" s="17"/>
      <c r="M129" s="17"/>
      <c r="N129" s="17"/>
      <c r="O129" s="17"/>
      <c r="P129" s="17"/>
    </row>
    <row r="130" spans="1:16" x14ac:dyDescent="0.25">
      <c r="A130" s="17">
        <v>129</v>
      </c>
      <c r="B130" s="17" t="s">
        <v>78</v>
      </c>
      <c r="C130" s="17" t="s">
        <v>43</v>
      </c>
      <c r="D130" s="17" t="s">
        <v>44</v>
      </c>
      <c r="E130" s="17" t="s">
        <v>65</v>
      </c>
      <c r="F130" s="17" t="s">
        <v>10</v>
      </c>
      <c r="G130" s="17" t="str">
        <f>IF(C130="","",IFERROR(IF(INDEX(UnidadMedida!$B$1:$B$30,MATCH(C130,UnidadMedida!$A$1:$A$30,0))="","",INDEX(UnidadMedida!$B$1:$B$30,MATCH(C130,UnidadMedida!$A$1:$A$30,0))),""))</f>
        <v>m</v>
      </c>
      <c r="H130" s="17"/>
      <c r="I130" s="17"/>
      <c r="J130" s="17"/>
      <c r="K130" s="17"/>
      <c r="L130" s="17"/>
      <c r="M130" s="17"/>
      <c r="N130" s="17"/>
      <c r="O130" s="17"/>
      <c r="P130" s="17"/>
    </row>
    <row r="131" spans="1:16" x14ac:dyDescent="0.25">
      <c r="A131" s="17">
        <v>130</v>
      </c>
      <c r="B131" s="17" t="s">
        <v>78</v>
      </c>
      <c r="C131" s="17" t="s">
        <v>91</v>
      </c>
      <c r="D131" s="17" t="s">
        <v>60</v>
      </c>
      <c r="E131" s="17" t="s">
        <v>65</v>
      </c>
      <c r="F131" s="17" t="s">
        <v>10</v>
      </c>
      <c r="G131" s="17" t="str">
        <f>IF(C131="","",IFERROR(IF(INDEX(UnidadMedida!$B$1:$B$30,MATCH(C131,UnidadMedida!$A$1:$A$30,0))="","",INDEX(UnidadMedida!$B$1:$B$30,MATCH(C131,UnidadMedida!$A$1:$A$30,0))),""))</f>
        <v/>
      </c>
      <c r="H131" s="17"/>
      <c r="I131" s="17"/>
      <c r="J131" s="17"/>
      <c r="K131" s="17"/>
      <c r="L131" s="17"/>
      <c r="M131" s="17"/>
      <c r="N131" s="17"/>
      <c r="O131" s="17"/>
      <c r="P131" s="17"/>
    </row>
    <row r="132" spans="1:16" x14ac:dyDescent="0.25">
      <c r="A132" s="17">
        <v>131</v>
      </c>
      <c r="B132" s="17" t="s">
        <v>78</v>
      </c>
      <c r="C132" s="17" t="s">
        <v>84</v>
      </c>
      <c r="D132" s="17" t="s">
        <v>12</v>
      </c>
      <c r="E132" s="17" t="s">
        <v>65</v>
      </c>
      <c r="F132" s="17" t="s">
        <v>10</v>
      </c>
      <c r="G132" s="17" t="str">
        <f>IF(C132="","",IFERROR(IF(INDEX(UnidadMedida!$B$1:$B$30,MATCH(C132,UnidadMedida!$A$1:$A$30,0))="","",INDEX(UnidadMedida!$B$1:$B$30,MATCH(C132,UnidadMedida!$A$1:$A$30,0))),""))</f>
        <v/>
      </c>
      <c r="H132" s="17"/>
      <c r="I132" s="17"/>
      <c r="J132" s="17"/>
      <c r="K132" s="17"/>
      <c r="L132" s="17"/>
      <c r="M132" s="17"/>
      <c r="N132" s="17"/>
      <c r="O132" s="17"/>
      <c r="P132" s="17"/>
    </row>
    <row r="133" spans="1:16" x14ac:dyDescent="0.25">
      <c r="A133" s="17">
        <v>132</v>
      </c>
      <c r="B133" s="17" t="s">
        <v>78</v>
      </c>
      <c r="C133" s="17" t="s">
        <v>84</v>
      </c>
      <c r="D133" s="17" t="s">
        <v>12</v>
      </c>
      <c r="E133" s="17" t="s">
        <v>66</v>
      </c>
      <c r="F133" s="17" t="s">
        <v>10</v>
      </c>
      <c r="G133" s="17" t="str">
        <f>IF(C133="","",IFERROR(IF(INDEX(UnidadMedida!$B$1:$B$30,MATCH(C133,UnidadMedida!$A$1:$A$30,0))="","",INDEX(UnidadMedida!$B$1:$B$30,MATCH(C133,UnidadMedida!$A$1:$A$30,0))),""))</f>
        <v/>
      </c>
      <c r="H133" s="17"/>
      <c r="I133" s="17"/>
      <c r="J133" s="17"/>
      <c r="K133" s="17"/>
      <c r="L133" s="17"/>
      <c r="M133" s="17"/>
      <c r="N133" s="17"/>
      <c r="O133" s="17"/>
      <c r="P133" s="17"/>
    </row>
    <row r="134" spans="1:16" x14ac:dyDescent="0.25">
      <c r="A134" s="17">
        <v>133</v>
      </c>
      <c r="B134" s="17" t="s">
        <v>78</v>
      </c>
      <c r="C134" s="17" t="s">
        <v>43</v>
      </c>
      <c r="D134" s="17" t="s">
        <v>44</v>
      </c>
      <c r="E134" s="17" t="s">
        <v>67</v>
      </c>
      <c r="F134" s="17" t="s">
        <v>10</v>
      </c>
      <c r="G134" s="17" t="str">
        <f>IF(C134="","",IFERROR(IF(INDEX(UnidadMedida!$B$1:$B$30,MATCH(C134,UnidadMedida!$A$1:$A$30,0))="","",INDEX(UnidadMedida!$B$1:$B$30,MATCH(C134,UnidadMedida!$A$1:$A$30,0))),""))</f>
        <v>m</v>
      </c>
      <c r="H134" s="17"/>
      <c r="I134" s="17"/>
      <c r="J134" s="17"/>
      <c r="K134" s="17"/>
      <c r="L134" s="17"/>
      <c r="M134" s="17"/>
      <c r="N134" s="17"/>
      <c r="O134" s="17"/>
      <c r="P134" s="17"/>
    </row>
    <row r="135" spans="1:16" x14ac:dyDescent="0.25">
      <c r="A135" s="17">
        <v>134</v>
      </c>
      <c r="B135" s="17" t="s">
        <v>78</v>
      </c>
      <c r="C135" s="17" t="s">
        <v>92</v>
      </c>
      <c r="D135" s="17" t="s">
        <v>60</v>
      </c>
      <c r="E135" s="17" t="s">
        <v>67</v>
      </c>
      <c r="F135" s="17" t="s">
        <v>10</v>
      </c>
      <c r="G135" s="17" t="str">
        <f>IF(C135="","",IFERROR(IF(INDEX(UnidadMedida!$B$1:$B$30,MATCH(C135,UnidadMedida!$A$1:$A$30,0))="","",INDEX(UnidadMedida!$B$1:$B$30,MATCH(C135,UnidadMedida!$A$1:$A$30,0))),""))</f>
        <v/>
      </c>
      <c r="H135" s="17"/>
      <c r="I135" s="17"/>
      <c r="J135" s="17"/>
      <c r="K135" s="17"/>
      <c r="L135" s="17"/>
      <c r="M135" s="17"/>
      <c r="N135" s="17"/>
      <c r="O135" s="17"/>
      <c r="P135" s="17"/>
    </row>
    <row r="136" spans="1:16" x14ac:dyDescent="0.25">
      <c r="A136" s="17">
        <v>135</v>
      </c>
      <c r="B136" s="17" t="s">
        <v>78</v>
      </c>
      <c r="C136" s="17" t="s">
        <v>43</v>
      </c>
      <c r="D136" s="17" t="s">
        <v>44</v>
      </c>
      <c r="E136" s="17" t="s">
        <v>68</v>
      </c>
      <c r="F136" s="17" t="s">
        <v>10</v>
      </c>
      <c r="G136" s="17" t="str">
        <f>IF(C136="","",IFERROR(IF(INDEX(UnidadMedida!$B$1:$B$30,MATCH(C136,UnidadMedida!$A$1:$A$30,0))="","",INDEX(UnidadMedida!$B$1:$B$30,MATCH(C136,UnidadMedida!$A$1:$A$30,0))),""))</f>
        <v>m</v>
      </c>
      <c r="H136" s="17"/>
      <c r="I136" s="17"/>
      <c r="J136" s="17"/>
      <c r="K136" s="17"/>
      <c r="L136" s="17"/>
      <c r="M136" s="17"/>
      <c r="N136" s="17"/>
      <c r="O136" s="17"/>
      <c r="P136" s="17"/>
    </row>
    <row r="137" spans="1:16" x14ac:dyDescent="0.25">
      <c r="A137" s="17">
        <v>136</v>
      </c>
      <c r="B137" s="17" t="s">
        <v>78</v>
      </c>
      <c r="C137" s="17" t="s">
        <v>43</v>
      </c>
      <c r="D137" s="17" t="s">
        <v>44</v>
      </c>
      <c r="E137" s="17" t="s">
        <v>69</v>
      </c>
      <c r="F137" s="17" t="s">
        <v>10</v>
      </c>
      <c r="G137" s="17" t="str">
        <f>IF(C137="","",IFERROR(IF(INDEX(UnidadMedida!$B$1:$B$30,MATCH(C137,UnidadMedida!$A$1:$A$30,0))="","",INDEX(UnidadMedida!$B$1:$B$30,MATCH(C137,UnidadMedida!$A$1:$A$30,0))),""))</f>
        <v>m</v>
      </c>
      <c r="H137" s="17"/>
      <c r="I137" s="17"/>
      <c r="J137" s="17"/>
      <c r="K137" s="17"/>
      <c r="L137" s="17"/>
      <c r="M137" s="17"/>
      <c r="N137" s="17"/>
      <c r="O137" s="17"/>
      <c r="P137" s="17"/>
    </row>
    <row r="138" spans="1:16" x14ac:dyDescent="0.25">
      <c r="A138" s="17">
        <v>137</v>
      </c>
      <c r="B138" s="17" t="s">
        <v>78</v>
      </c>
      <c r="C138" s="17" t="s">
        <v>43</v>
      </c>
      <c r="D138" s="17" t="s">
        <v>44</v>
      </c>
      <c r="E138" s="17" t="s">
        <v>71</v>
      </c>
      <c r="F138" s="17" t="s">
        <v>10</v>
      </c>
      <c r="G138" s="17" t="str">
        <f>IF(C138="","",IFERROR(IF(INDEX(UnidadMedida!$B$1:$B$30,MATCH(C138,UnidadMedida!$A$1:$A$30,0))="","",INDEX(UnidadMedida!$B$1:$B$30,MATCH(C138,UnidadMedida!$A$1:$A$30,0))),""))</f>
        <v>m</v>
      </c>
      <c r="H138" s="17"/>
      <c r="I138" s="17"/>
      <c r="J138" s="17"/>
      <c r="K138" s="17"/>
      <c r="L138" s="17"/>
      <c r="M138" s="17"/>
      <c r="N138" s="17"/>
      <c r="O138" s="17"/>
      <c r="P138" s="17"/>
    </row>
    <row r="139" spans="1:16" x14ac:dyDescent="0.25">
      <c r="A139" s="17">
        <v>138</v>
      </c>
      <c r="B139" s="17" t="s">
        <v>78</v>
      </c>
      <c r="C139" s="17" t="s">
        <v>80</v>
      </c>
      <c r="D139" s="17" t="s">
        <v>60</v>
      </c>
      <c r="E139" s="17" t="s">
        <v>71</v>
      </c>
      <c r="F139" s="17" t="s">
        <v>10</v>
      </c>
      <c r="G139" s="17" t="str">
        <f>IF(C139="","",IFERROR(IF(INDEX(UnidadMedida!$B$1:$B$30,MATCH(C139,UnidadMedida!$A$1:$A$30,0))="","",INDEX(UnidadMedida!$B$1:$B$30,MATCH(C139,UnidadMedida!$A$1:$A$30,0))),""))</f>
        <v/>
      </c>
      <c r="H139" s="17"/>
      <c r="I139" s="17"/>
      <c r="J139" s="17"/>
      <c r="K139" s="17"/>
      <c r="L139" s="17"/>
      <c r="M139" s="17"/>
      <c r="N139" s="17"/>
      <c r="O139" s="17"/>
      <c r="P139" s="17"/>
    </row>
    <row r="140" spans="1:16" x14ac:dyDescent="0.25">
      <c r="A140" s="17">
        <v>139</v>
      </c>
      <c r="B140" s="17" t="s">
        <v>78</v>
      </c>
      <c r="C140" s="17" t="s">
        <v>43</v>
      </c>
      <c r="D140" s="17" t="s">
        <v>44</v>
      </c>
      <c r="E140" s="17" t="s">
        <v>73</v>
      </c>
      <c r="F140" s="17" t="s">
        <v>10</v>
      </c>
      <c r="G140" s="17" t="str">
        <f>IF(C140="","",IFERROR(IF(INDEX(UnidadMedida!$B$1:$B$30,MATCH(C140,UnidadMedida!$A$1:$A$30,0))="","",INDEX(UnidadMedida!$B$1:$B$30,MATCH(C140,UnidadMedida!$A$1:$A$30,0))),""))</f>
        <v>m</v>
      </c>
      <c r="H140" s="17"/>
      <c r="I140" s="17"/>
      <c r="J140" s="17"/>
      <c r="K140" s="17"/>
      <c r="L140" s="17"/>
      <c r="M140" s="17"/>
      <c r="N140" s="17"/>
      <c r="O140" s="17"/>
      <c r="P140" s="17"/>
    </row>
    <row r="141" spans="1:16" x14ac:dyDescent="0.25">
      <c r="A141" s="17">
        <v>140</v>
      </c>
      <c r="B141" s="17" t="s">
        <v>78</v>
      </c>
      <c r="C141" s="17" t="s">
        <v>85</v>
      </c>
      <c r="D141" s="17" t="s">
        <v>60</v>
      </c>
      <c r="E141" s="17" t="s">
        <v>73</v>
      </c>
      <c r="F141" s="17" t="s">
        <v>10</v>
      </c>
      <c r="G141" s="17" t="str">
        <f>IF(C141="","",IFERROR(IF(INDEX(UnidadMedida!$B$1:$B$30,MATCH(C141,UnidadMedida!$A$1:$A$30,0))="","",INDEX(UnidadMedida!$B$1:$B$30,MATCH(C141,UnidadMedida!$A$1:$A$30,0))),""))</f>
        <v/>
      </c>
      <c r="H141" s="17"/>
      <c r="I141" s="17"/>
      <c r="J141" s="17"/>
      <c r="K141" s="17"/>
      <c r="L141" s="17"/>
      <c r="M141" s="17"/>
      <c r="N141" s="17"/>
      <c r="O141" s="17"/>
      <c r="P141" s="17"/>
    </row>
    <row r="142" spans="1:16" x14ac:dyDescent="0.25">
      <c r="A142" s="17">
        <v>141</v>
      </c>
      <c r="B142" s="17" t="s">
        <v>78</v>
      </c>
      <c r="C142" s="17" t="s">
        <v>43</v>
      </c>
      <c r="D142" s="17" t="s">
        <v>44</v>
      </c>
      <c r="E142" s="17" t="s">
        <v>75</v>
      </c>
      <c r="F142" s="17" t="s">
        <v>10</v>
      </c>
      <c r="G142" s="17" t="str">
        <f>IF(C142="","",IFERROR(IF(INDEX(UnidadMedida!$B$1:$B$30,MATCH(C142,UnidadMedida!$A$1:$A$30,0))="","",INDEX(UnidadMedida!$B$1:$B$30,MATCH(C142,UnidadMedida!$A$1:$A$30,0))),""))</f>
        <v>m</v>
      </c>
      <c r="H142" s="17"/>
      <c r="I142" s="17"/>
      <c r="J142" s="17"/>
      <c r="K142" s="17"/>
      <c r="L142" s="17"/>
      <c r="M142" s="17"/>
      <c r="N142" s="17"/>
      <c r="O142" s="17"/>
      <c r="P142" s="17"/>
    </row>
    <row r="143" spans="1:16" x14ac:dyDescent="0.25">
      <c r="A143" s="17">
        <v>142</v>
      </c>
      <c r="B143" s="17" t="s">
        <v>78</v>
      </c>
      <c r="C143" s="17" t="s">
        <v>84</v>
      </c>
      <c r="D143" s="17" t="s">
        <v>12</v>
      </c>
      <c r="E143" s="17" t="s">
        <v>75</v>
      </c>
      <c r="F143" s="17" t="s">
        <v>10</v>
      </c>
      <c r="G143" s="17" t="str">
        <f>IF(C143="","",IFERROR(IF(INDEX(UnidadMedida!$B$1:$B$30,MATCH(C143,UnidadMedida!$A$1:$A$30,0))="","",INDEX(UnidadMedida!$B$1:$B$30,MATCH(C143,UnidadMedida!$A$1:$A$30,0))),""))</f>
        <v/>
      </c>
      <c r="H143" s="17"/>
      <c r="I143" s="17"/>
      <c r="J143" s="17"/>
      <c r="K143" s="17"/>
      <c r="L143" s="17"/>
      <c r="M143" s="17"/>
      <c r="N143" s="17"/>
      <c r="O143" s="17"/>
      <c r="P143" s="17"/>
    </row>
    <row r="144" spans="1:16" x14ac:dyDescent="0.25">
      <c r="A144" s="17">
        <v>143</v>
      </c>
      <c r="B144" s="17" t="s">
        <v>78</v>
      </c>
      <c r="C144" s="17" t="s">
        <v>86</v>
      </c>
      <c r="D144" s="17" t="s">
        <v>60</v>
      </c>
      <c r="E144" s="17" t="s">
        <v>75</v>
      </c>
      <c r="F144" s="17" t="s">
        <v>10</v>
      </c>
      <c r="G144" s="17" t="str">
        <f>IF(C144="","",IFERROR(IF(INDEX(UnidadMedida!$B$1:$B$30,MATCH(C144,UnidadMedida!$A$1:$A$30,0))="","",INDEX(UnidadMedida!$B$1:$B$30,MATCH(C144,UnidadMedida!$A$1:$A$30,0))),""))</f>
        <v>°C</v>
      </c>
      <c r="H144" s="17"/>
      <c r="I144" s="17"/>
      <c r="J144" s="17"/>
      <c r="K144" s="17"/>
      <c r="L144" s="17"/>
      <c r="M144" s="17"/>
      <c r="N144" s="17"/>
      <c r="O144" s="17"/>
      <c r="P144" s="17"/>
    </row>
    <row r="145" spans="1:16" x14ac:dyDescent="0.25">
      <c r="A145" s="17">
        <v>144</v>
      </c>
      <c r="B145" s="17" t="s">
        <v>78</v>
      </c>
      <c r="C145" s="17" t="s">
        <v>43</v>
      </c>
      <c r="D145" s="17" t="s">
        <v>44</v>
      </c>
      <c r="E145" s="17" t="s">
        <v>76</v>
      </c>
      <c r="F145" s="17" t="s">
        <v>22</v>
      </c>
      <c r="G145" s="17" t="str">
        <f>IF(C145="","",IFERROR(IF(INDEX(UnidadMedida!$B$1:$B$30,MATCH(C145,UnidadMedida!$A$1:$A$30,0))="","",INDEX(UnidadMedida!$B$1:$B$30,MATCH(C145,UnidadMedida!$A$1:$A$30,0))),""))</f>
        <v>m</v>
      </c>
      <c r="H145" s="17"/>
      <c r="I145" s="17"/>
      <c r="J145" s="17"/>
      <c r="K145" s="17"/>
      <c r="L145" s="17"/>
      <c r="M145" s="17"/>
      <c r="N145" s="17"/>
      <c r="O145" s="17"/>
      <c r="P145" s="17"/>
    </row>
    <row r="146" spans="1:16" x14ac:dyDescent="0.25">
      <c r="A146" s="17">
        <v>145</v>
      </c>
      <c r="B146" s="17" t="s">
        <v>78</v>
      </c>
      <c r="C146" s="17" t="s">
        <v>84</v>
      </c>
      <c r="D146" s="17" t="s">
        <v>12</v>
      </c>
      <c r="E146" s="17" t="s">
        <v>76</v>
      </c>
      <c r="F146" s="17" t="s">
        <v>22</v>
      </c>
      <c r="G146" s="17" t="str">
        <f>IF(C146="","",IFERROR(IF(INDEX(UnidadMedida!$B$1:$B$30,MATCH(C146,UnidadMedida!$A$1:$A$30,0))="","",INDEX(UnidadMedida!$B$1:$B$30,MATCH(C146,UnidadMedida!$A$1:$A$30,0))),""))</f>
        <v/>
      </c>
      <c r="H146" s="17"/>
      <c r="I146" s="17"/>
      <c r="J146" s="17"/>
      <c r="K146" s="17"/>
      <c r="L146" s="17"/>
      <c r="M146" s="17"/>
      <c r="N146" s="17"/>
      <c r="O146" s="17"/>
      <c r="P146" s="17"/>
    </row>
    <row r="147" spans="1:16" x14ac:dyDescent="0.25">
      <c r="A147" s="17">
        <v>146</v>
      </c>
      <c r="B147" s="17" t="s">
        <v>78</v>
      </c>
      <c r="C147" s="17" t="s">
        <v>43</v>
      </c>
      <c r="D147" s="17" t="s">
        <v>44</v>
      </c>
      <c r="E147" s="17" t="s">
        <v>93</v>
      </c>
      <c r="F147" s="17" t="s">
        <v>10</v>
      </c>
      <c r="G147" s="17" t="str">
        <f>IF(C147="","",IFERROR(IF(INDEX(UnidadMedida!$B$1:$B$30,MATCH(C147,UnidadMedida!$A$1:$A$30,0))="","",INDEX(UnidadMedida!$B$1:$B$30,MATCH(C147,UnidadMedida!$A$1:$A$30,0))),""))</f>
        <v>m</v>
      </c>
      <c r="H147" s="17"/>
      <c r="I147" s="17"/>
      <c r="J147" s="17"/>
      <c r="K147" s="17"/>
      <c r="L147" s="17"/>
      <c r="M147" s="17"/>
      <c r="N147" s="17"/>
      <c r="O147" s="17"/>
      <c r="P147" s="17"/>
    </row>
    <row r="148" spans="1:16" x14ac:dyDescent="0.25">
      <c r="A148" s="17">
        <v>147</v>
      </c>
      <c r="B148" s="17" t="s">
        <v>78</v>
      </c>
      <c r="C148" s="17" t="s">
        <v>94</v>
      </c>
      <c r="D148" s="17" t="s">
        <v>12</v>
      </c>
      <c r="E148" s="17" t="s">
        <v>93</v>
      </c>
      <c r="F148" s="17" t="s">
        <v>10</v>
      </c>
      <c r="G148" s="17" t="str">
        <f>IF(C148="","",IFERROR(IF(INDEX(UnidadMedida!$B$1:$B$30,MATCH(C148,UnidadMedida!$A$1:$A$30,0))="","",INDEX(UnidadMedida!$B$1:$B$30,MATCH(C148,UnidadMedida!$A$1:$A$30,0))),""))</f>
        <v>m/s</v>
      </c>
      <c r="H148" s="17"/>
      <c r="I148" s="17"/>
      <c r="J148" s="17"/>
      <c r="K148" s="17"/>
      <c r="L148" s="17"/>
      <c r="M148" s="17"/>
      <c r="N148" s="17"/>
      <c r="O148" s="17"/>
      <c r="P148" s="17"/>
    </row>
    <row r="149" spans="1:16" x14ac:dyDescent="0.25">
      <c r="A149" s="17">
        <v>148</v>
      </c>
      <c r="B149" s="17" t="s">
        <v>78</v>
      </c>
      <c r="C149" s="17" t="s">
        <v>43</v>
      </c>
      <c r="D149" s="17" t="s">
        <v>44</v>
      </c>
      <c r="E149" s="17" t="s">
        <v>95</v>
      </c>
      <c r="F149" s="17" t="s">
        <v>10</v>
      </c>
      <c r="G149" s="17" t="str">
        <f>IF(C149="","",IFERROR(IF(INDEX(UnidadMedida!$B$1:$B$30,MATCH(C149,UnidadMedida!$A$1:$A$30,0))="","",INDEX(UnidadMedida!$B$1:$B$30,MATCH(C149,UnidadMedida!$A$1:$A$30,0))),""))</f>
        <v>m</v>
      </c>
      <c r="H149" s="17"/>
      <c r="I149" s="17"/>
      <c r="J149" s="17"/>
      <c r="K149" s="17"/>
      <c r="L149" s="17"/>
      <c r="M149" s="17"/>
      <c r="N149" s="17"/>
      <c r="O149" s="17"/>
      <c r="P149" s="17"/>
    </row>
    <row r="150" spans="1:16" x14ac:dyDescent="0.25">
      <c r="A150" s="17">
        <v>149</v>
      </c>
      <c r="B150" s="17" t="s">
        <v>78</v>
      </c>
      <c r="C150" s="17" t="s">
        <v>43</v>
      </c>
      <c r="D150" s="17" t="s">
        <v>44</v>
      </c>
      <c r="E150" s="17" t="s">
        <v>77</v>
      </c>
      <c r="F150" s="17" t="s">
        <v>10</v>
      </c>
      <c r="G150" s="17" t="str">
        <f>IF(C150="","",IFERROR(IF(INDEX(UnidadMedida!$B$1:$B$30,MATCH(C150,UnidadMedida!$A$1:$A$30,0))="","",INDEX(UnidadMedida!$B$1:$B$30,MATCH(C150,UnidadMedida!$A$1:$A$30,0))),""))</f>
        <v>m</v>
      </c>
      <c r="H150" s="17"/>
      <c r="I150" s="17"/>
      <c r="J150" s="17"/>
      <c r="K150" s="17"/>
      <c r="L150" s="17"/>
      <c r="M150" s="17"/>
      <c r="N150" s="17"/>
      <c r="O150" s="17"/>
      <c r="P150" s="17"/>
    </row>
    <row r="151" spans="1:16" x14ac:dyDescent="0.25">
      <c r="A151" s="17">
        <v>150</v>
      </c>
      <c r="B151" s="17" t="s">
        <v>78</v>
      </c>
      <c r="C151" s="17" t="s">
        <v>84</v>
      </c>
      <c r="D151" s="17" t="s">
        <v>12</v>
      </c>
      <c r="E151" s="17" t="s">
        <v>77</v>
      </c>
      <c r="F151" s="17" t="s">
        <v>10</v>
      </c>
      <c r="G151" s="17" t="str">
        <f>IF(C151="","",IFERROR(IF(INDEX(UnidadMedida!$B$1:$B$30,MATCH(C151,UnidadMedida!$A$1:$A$30,0))="","",INDEX(UnidadMedida!$B$1:$B$30,MATCH(C151,UnidadMedida!$A$1:$A$30,0))),""))</f>
        <v/>
      </c>
      <c r="H151" s="17"/>
      <c r="I151" s="17"/>
      <c r="J151" s="17"/>
      <c r="K151" s="17"/>
      <c r="L151" s="17"/>
      <c r="M151" s="17"/>
      <c r="N151" s="17"/>
      <c r="O151" s="17"/>
      <c r="P151" s="17"/>
    </row>
    <row r="152" spans="1:16" x14ac:dyDescent="0.25">
      <c r="A152" s="17">
        <v>151</v>
      </c>
      <c r="B152" s="17" t="s">
        <v>78</v>
      </c>
      <c r="C152" s="17" t="s">
        <v>86</v>
      </c>
      <c r="D152" s="17" t="s">
        <v>60</v>
      </c>
      <c r="E152" s="17" t="s">
        <v>77</v>
      </c>
      <c r="F152" s="17" t="s">
        <v>10</v>
      </c>
      <c r="G152" s="17" t="str">
        <f>IF(C152="","",IFERROR(IF(INDEX(UnidadMedida!$B$1:$B$30,MATCH(C152,UnidadMedida!$A$1:$A$30,0))="","",INDEX(UnidadMedida!$B$1:$B$30,MATCH(C152,UnidadMedida!$A$1:$A$30,0))),""))</f>
        <v>°C</v>
      </c>
      <c r="H152" s="17"/>
      <c r="I152" s="17"/>
      <c r="J152" s="17"/>
      <c r="K152" s="17"/>
      <c r="L152" s="17"/>
      <c r="M152" s="17"/>
      <c r="N152" s="17"/>
      <c r="O152" s="17"/>
      <c r="P152" s="17"/>
    </row>
    <row r="153" spans="1:16" x14ac:dyDescent="0.25">
      <c r="A153" s="17">
        <v>152</v>
      </c>
      <c r="B153" s="17" t="s">
        <v>96</v>
      </c>
      <c r="C153" s="17" t="s">
        <v>36</v>
      </c>
      <c r="D153" s="17" t="s">
        <v>29</v>
      </c>
      <c r="E153" s="17" t="s">
        <v>9</v>
      </c>
      <c r="F153" s="17" t="s">
        <v>10</v>
      </c>
      <c r="G153" s="17" t="str">
        <f>IF(C153="","",IFERROR(IF(INDEX(UnidadMedida!$B$1:$B$30,MATCH(C153,UnidadMedida!$A$1:$A$30,0))="","",INDEX(UnidadMedida!$B$1:$B$30,MATCH(C153,UnidadMedida!$A$1:$A$30,0))),""))</f>
        <v>m</v>
      </c>
      <c r="H153" s="17" t="s">
        <v>124</v>
      </c>
      <c r="I153" s="17"/>
      <c r="J153" s="17"/>
      <c r="K153" s="17"/>
      <c r="L153" s="17"/>
      <c r="M153" s="17"/>
      <c r="N153" s="17"/>
      <c r="O153" s="17"/>
      <c r="P153" s="17"/>
    </row>
    <row r="154" spans="1:16" x14ac:dyDescent="0.25">
      <c r="A154" s="17">
        <v>153</v>
      </c>
      <c r="B154" s="17" t="s">
        <v>96</v>
      </c>
      <c r="C154" s="17" t="s">
        <v>36</v>
      </c>
      <c r="D154" s="17" t="s">
        <v>29</v>
      </c>
      <c r="E154" s="17" t="s">
        <v>13</v>
      </c>
      <c r="F154" s="17" t="s">
        <v>10</v>
      </c>
      <c r="G154" s="17" t="str">
        <f>IF(C154="","",IFERROR(IF(INDEX(UnidadMedida!$B$1:$B$30,MATCH(C154,UnidadMedida!$A$1:$A$30,0))="","",INDEX(UnidadMedida!$B$1:$B$30,MATCH(C154,UnidadMedida!$A$1:$A$30,0))),""))</f>
        <v>m</v>
      </c>
      <c r="H154" s="17" t="s">
        <v>124</v>
      </c>
      <c r="I154" s="17"/>
      <c r="J154" s="17"/>
      <c r="K154" s="17"/>
      <c r="L154" s="17"/>
      <c r="M154" s="17"/>
      <c r="N154" s="17"/>
      <c r="O154" s="17"/>
      <c r="P154" s="17"/>
    </row>
    <row r="155" spans="1:16" x14ac:dyDescent="0.25">
      <c r="A155" s="17">
        <v>154</v>
      </c>
      <c r="B155" s="17" t="s">
        <v>96</v>
      </c>
      <c r="C155" s="17" t="s">
        <v>36</v>
      </c>
      <c r="D155" s="17" t="s">
        <v>29</v>
      </c>
      <c r="E155" s="17" t="s">
        <v>18</v>
      </c>
      <c r="F155" s="17" t="s">
        <v>10</v>
      </c>
      <c r="G155" s="17" t="str">
        <f>IF(C155="","",IFERROR(IF(INDEX(UnidadMedida!$B$1:$B$30,MATCH(C155,UnidadMedida!$A$1:$A$30,0))="","",INDEX(UnidadMedida!$B$1:$B$30,MATCH(C155,UnidadMedida!$A$1:$A$30,0))),""))</f>
        <v>m</v>
      </c>
      <c r="H155" s="17" t="s">
        <v>124</v>
      </c>
      <c r="I155" s="17"/>
      <c r="J155" s="17"/>
      <c r="K155" s="17"/>
      <c r="L155" s="17"/>
      <c r="M155" s="17"/>
      <c r="N155" s="17"/>
      <c r="O155" s="17"/>
      <c r="P155" s="17"/>
    </row>
    <row r="156" spans="1:16" x14ac:dyDescent="0.25">
      <c r="A156" s="17">
        <v>155</v>
      </c>
      <c r="B156" s="17" t="s">
        <v>96</v>
      </c>
      <c r="C156" s="17" t="s">
        <v>36</v>
      </c>
      <c r="D156" s="17" t="s">
        <v>29</v>
      </c>
      <c r="E156" s="17" t="s">
        <v>133</v>
      </c>
      <c r="F156" s="17" t="s">
        <v>10</v>
      </c>
      <c r="G156" s="17" t="str">
        <f>IF(C156="","",IFERROR(IF(INDEX(UnidadMedida!$B$1:$B$30,MATCH(C156,UnidadMedida!$A$1:$A$30,0))="","",INDEX(UnidadMedida!$B$1:$B$30,MATCH(C156,UnidadMedida!$A$1:$A$30,0))),""))</f>
        <v>m</v>
      </c>
      <c r="H156" s="17" t="s">
        <v>122</v>
      </c>
      <c r="I156" s="17"/>
      <c r="J156" s="17"/>
      <c r="K156" s="17"/>
      <c r="L156" s="17"/>
      <c r="M156" s="17"/>
      <c r="N156" s="17"/>
      <c r="O156" s="17"/>
      <c r="P156" s="17"/>
    </row>
    <row r="157" spans="1:16" x14ac:dyDescent="0.25">
      <c r="A157" s="17">
        <v>156</v>
      </c>
      <c r="B157" s="17" t="s">
        <v>96</v>
      </c>
      <c r="C157" s="17" t="s">
        <v>36</v>
      </c>
      <c r="D157" s="17" t="s">
        <v>29</v>
      </c>
      <c r="E157" s="17" t="s">
        <v>19</v>
      </c>
      <c r="F157" s="17" t="s">
        <v>10</v>
      </c>
      <c r="G157" s="17" t="str">
        <f>IF(C157="","",IFERROR(IF(INDEX(UnidadMedida!$B$1:$B$30,MATCH(C157,UnidadMedida!$A$1:$A$30,0))="","",INDEX(UnidadMedida!$B$1:$B$30,MATCH(C157,UnidadMedida!$A$1:$A$30,0))),""))</f>
        <v>m</v>
      </c>
      <c r="H157" s="17" t="s">
        <v>124</v>
      </c>
      <c r="I157" s="17"/>
      <c r="J157" s="17"/>
      <c r="K157" s="17"/>
      <c r="L157" s="17"/>
      <c r="M157" s="17"/>
      <c r="N157" s="17"/>
      <c r="O157" s="17"/>
      <c r="P157" s="17"/>
    </row>
    <row r="158" spans="1:16" x14ac:dyDescent="0.25">
      <c r="A158" s="17">
        <v>157</v>
      </c>
      <c r="B158" s="17" t="s">
        <v>96</v>
      </c>
      <c r="C158" s="17" t="s">
        <v>97</v>
      </c>
      <c r="D158" s="17" t="s">
        <v>120</v>
      </c>
      <c r="E158" s="17" t="s">
        <v>20</v>
      </c>
      <c r="F158" s="17" t="s">
        <v>10</v>
      </c>
      <c r="G158" s="17" t="str">
        <f>IF(C158="","",IFERROR(IF(INDEX(UnidadMedida!$B$1:$B$30,MATCH(C158,UnidadMedida!$A$1:$A$30,0))="","",INDEX(UnidadMedida!$B$1:$B$30,MATCH(C158,UnidadMedida!$A$1:$A$30,0))),""))</f>
        <v/>
      </c>
      <c r="H158" s="17"/>
      <c r="I158" s="17"/>
      <c r="J158" s="17"/>
      <c r="K158" s="17"/>
      <c r="L158" s="17"/>
      <c r="M158" s="17"/>
      <c r="N158" s="17"/>
      <c r="O158" s="17"/>
      <c r="P158" s="17"/>
    </row>
    <row r="159" spans="1:16" x14ac:dyDescent="0.25">
      <c r="A159" s="17">
        <v>158</v>
      </c>
      <c r="B159" s="17" t="s">
        <v>96</v>
      </c>
      <c r="C159" s="17" t="s">
        <v>27</v>
      </c>
      <c r="D159" s="17" t="s">
        <v>111</v>
      </c>
      <c r="E159" s="17" t="s">
        <v>26</v>
      </c>
      <c r="F159" s="17" t="s">
        <v>10</v>
      </c>
      <c r="G159" s="17" t="str">
        <f>IF(C159="","",IFERROR(IF(INDEX(UnidadMedida!$B$1:$B$30,MATCH(C159,UnidadMedida!$A$1:$A$30,0))="","",INDEX(UnidadMedida!$B$1:$B$30,MATCH(C159,UnidadMedida!$A$1:$A$30,0))),""))</f>
        <v/>
      </c>
      <c r="H159" s="17"/>
      <c r="I159" s="17"/>
      <c r="J159" s="17"/>
      <c r="K159" s="17"/>
      <c r="L159" s="17"/>
      <c r="M159" s="17"/>
      <c r="N159" s="17"/>
      <c r="O159" s="17"/>
      <c r="P159" s="17"/>
    </row>
    <row r="160" spans="1:16" x14ac:dyDescent="0.25">
      <c r="A160" s="17">
        <v>159</v>
      </c>
      <c r="B160" s="17" t="s">
        <v>96</v>
      </c>
      <c r="C160" s="17" t="s">
        <v>28</v>
      </c>
      <c r="D160" s="17" t="s">
        <v>111</v>
      </c>
      <c r="E160" s="17" t="s">
        <v>26</v>
      </c>
      <c r="F160" s="17" t="s">
        <v>10</v>
      </c>
      <c r="G160" s="17" t="str">
        <f>IF(C160="","",IFERROR(IF(INDEX(UnidadMedida!$B$1:$B$30,MATCH(C160,UnidadMedida!$A$1:$A$30,0))="","",INDEX(UnidadMedida!$B$1:$B$30,MATCH(C160,UnidadMedida!$A$1:$A$30,0))),""))</f>
        <v/>
      </c>
      <c r="H160" s="17"/>
      <c r="I160" s="17"/>
      <c r="J160" s="17"/>
      <c r="K160" s="17"/>
      <c r="L160" s="17"/>
      <c r="M160" s="17"/>
      <c r="N160" s="17"/>
      <c r="O160" s="17"/>
      <c r="P160" s="17"/>
    </row>
    <row r="161" spans="1:16" x14ac:dyDescent="0.25">
      <c r="A161" s="17">
        <v>160</v>
      </c>
      <c r="B161" s="17" t="s">
        <v>96</v>
      </c>
      <c r="C161" s="17" t="s">
        <v>30</v>
      </c>
      <c r="D161" s="17" t="s">
        <v>111</v>
      </c>
      <c r="E161" s="17" t="s">
        <v>26</v>
      </c>
      <c r="F161" s="17" t="s">
        <v>10</v>
      </c>
      <c r="G161" s="17" t="str">
        <f>IF(C161="","",IFERROR(IF(INDEX(UnidadMedida!$B$1:$B$30,MATCH(C161,UnidadMedida!$A$1:$A$30,0))="","",INDEX(UnidadMedida!$B$1:$B$30,MATCH(C161,UnidadMedida!$A$1:$A$30,0))),""))</f>
        <v/>
      </c>
      <c r="H161" s="17"/>
      <c r="I161" s="17"/>
      <c r="J161" s="17"/>
      <c r="K161" s="17"/>
      <c r="L161" s="17"/>
      <c r="M161" s="17"/>
      <c r="N161" s="17"/>
      <c r="O161" s="17"/>
      <c r="P161" s="17"/>
    </row>
    <row r="162" spans="1:16" x14ac:dyDescent="0.25">
      <c r="A162" s="17">
        <v>161</v>
      </c>
      <c r="B162" s="17" t="s">
        <v>96</v>
      </c>
      <c r="C162" s="17" t="s">
        <v>32</v>
      </c>
      <c r="D162" s="17" t="s">
        <v>111</v>
      </c>
      <c r="E162" s="17" t="s">
        <v>31</v>
      </c>
      <c r="F162" s="17" t="s">
        <v>10</v>
      </c>
      <c r="G162" s="17" t="str">
        <f>IF(C162="","",IFERROR(IF(INDEX(UnidadMedida!$B$1:$B$30,MATCH(C162,UnidadMedida!$A$1:$A$30,0))="","",INDEX(UnidadMedida!$B$1:$B$30,MATCH(C162,UnidadMedida!$A$1:$A$30,0))),""))</f>
        <v/>
      </c>
      <c r="H162" s="17"/>
      <c r="I162" s="17"/>
      <c r="J162" s="17"/>
      <c r="K162" s="17"/>
      <c r="L162" s="17"/>
      <c r="M162" s="17"/>
      <c r="N162" s="17"/>
      <c r="O162" s="17"/>
      <c r="P162" s="17"/>
    </row>
    <row r="163" spans="1:16" x14ac:dyDescent="0.25">
      <c r="A163" s="17">
        <v>162</v>
      </c>
      <c r="B163" s="17" t="s">
        <v>96</v>
      </c>
      <c r="C163" s="17" t="s">
        <v>33</v>
      </c>
      <c r="D163" s="17" t="s">
        <v>111</v>
      </c>
      <c r="E163" s="17" t="s">
        <v>31</v>
      </c>
      <c r="F163" s="17" t="s">
        <v>10</v>
      </c>
      <c r="G163" s="17" t="str">
        <f>IF(C163="","",IFERROR(IF(INDEX(UnidadMedida!$B$1:$B$30,MATCH(C163,UnidadMedida!$A$1:$A$30,0))="","",INDEX(UnidadMedida!$B$1:$B$30,MATCH(C163,UnidadMedida!$A$1:$A$30,0))),""))</f>
        <v/>
      </c>
      <c r="H163" s="17"/>
      <c r="I163" s="17"/>
      <c r="J163" s="17"/>
      <c r="K163" s="17"/>
      <c r="L163" s="17"/>
      <c r="M163" s="17"/>
      <c r="N163" s="17"/>
      <c r="O163" s="17"/>
      <c r="P163" s="17"/>
    </row>
    <row r="164" spans="1:16" x14ac:dyDescent="0.25">
      <c r="A164" s="17">
        <v>163</v>
      </c>
      <c r="B164" s="17" t="s">
        <v>96</v>
      </c>
      <c r="C164" s="17" t="s">
        <v>30</v>
      </c>
      <c r="D164" s="17" t="s">
        <v>111</v>
      </c>
      <c r="E164" s="17" t="s">
        <v>31</v>
      </c>
      <c r="F164" s="17" t="s">
        <v>10</v>
      </c>
      <c r="G164" s="17" t="str">
        <f>IF(C164="","",IFERROR(IF(INDEX(UnidadMedida!$B$1:$B$30,MATCH(C164,UnidadMedida!$A$1:$A$30,0))="","",INDEX(UnidadMedida!$B$1:$B$30,MATCH(C164,UnidadMedida!$A$1:$A$30,0))),""))</f>
        <v/>
      </c>
      <c r="H164" s="17"/>
      <c r="I164" s="17"/>
      <c r="J164" s="17"/>
      <c r="K164" s="17"/>
      <c r="L164" s="17"/>
      <c r="M164" s="17"/>
      <c r="N164" s="17"/>
      <c r="O164" s="17"/>
      <c r="P164" s="17"/>
    </row>
    <row r="165" spans="1:16" x14ac:dyDescent="0.25">
      <c r="A165" s="17">
        <v>164</v>
      </c>
      <c r="B165" s="17" t="s">
        <v>96</v>
      </c>
      <c r="C165" s="17" t="s">
        <v>98</v>
      </c>
      <c r="D165" s="17" t="s">
        <v>111</v>
      </c>
      <c r="E165" s="17" t="s">
        <v>35</v>
      </c>
      <c r="F165" s="17" t="s">
        <v>10</v>
      </c>
      <c r="G165" s="17" t="str">
        <f>IF(C165="","",IFERROR(IF(INDEX(UnidadMedida!$B$1:$B$30,MATCH(C165,UnidadMedida!$A$1:$A$30,0))="","",INDEX(UnidadMedida!$B$1:$B$30,MATCH(C165,UnidadMedida!$A$1:$A$30,0))),""))</f>
        <v/>
      </c>
      <c r="H165" s="17"/>
      <c r="I165" s="17"/>
      <c r="J165" s="17"/>
      <c r="K165" s="17"/>
      <c r="L165" s="17"/>
      <c r="M165" s="17"/>
      <c r="N165" s="17"/>
      <c r="O165" s="17"/>
      <c r="P165" s="17"/>
    </row>
    <row r="166" spans="1:16" x14ac:dyDescent="0.25">
      <c r="A166" s="17">
        <v>165</v>
      </c>
      <c r="B166" s="17" t="s">
        <v>96</v>
      </c>
      <c r="C166" s="17" t="s">
        <v>98</v>
      </c>
      <c r="D166" s="17" t="s">
        <v>111</v>
      </c>
      <c r="E166" s="17" t="s">
        <v>37</v>
      </c>
      <c r="F166" s="17" t="s">
        <v>10</v>
      </c>
      <c r="G166" s="17" t="str">
        <f>IF(C166="","",IFERROR(IF(INDEX(UnidadMedida!$B$1:$B$30,MATCH(C166,UnidadMedida!$A$1:$A$30,0))="","",INDEX(UnidadMedida!$B$1:$B$30,MATCH(C166,UnidadMedida!$A$1:$A$30,0))),""))</f>
        <v/>
      </c>
      <c r="H166" s="17"/>
      <c r="I166" s="17"/>
      <c r="J166" s="17"/>
      <c r="K166" s="17"/>
      <c r="L166" s="17"/>
      <c r="M166" s="17"/>
      <c r="N166" s="17"/>
      <c r="O166" s="17"/>
      <c r="P166" s="17"/>
    </row>
    <row r="167" spans="1:16" x14ac:dyDescent="0.25">
      <c r="A167" s="17">
        <v>166</v>
      </c>
      <c r="B167" s="17" t="s">
        <v>96</v>
      </c>
      <c r="C167" s="17" t="s">
        <v>98</v>
      </c>
      <c r="D167" s="17" t="s">
        <v>111</v>
      </c>
      <c r="E167" s="17" t="s">
        <v>38</v>
      </c>
      <c r="F167" s="17" t="s">
        <v>10</v>
      </c>
      <c r="G167" s="17" t="str">
        <f>IF(C167="","",IFERROR(IF(INDEX(UnidadMedida!$B$1:$B$30,MATCH(C167,UnidadMedida!$A$1:$A$30,0))="","",INDEX(UnidadMedida!$B$1:$B$30,MATCH(C167,UnidadMedida!$A$1:$A$30,0))),""))</f>
        <v/>
      </c>
      <c r="H167" s="17"/>
      <c r="I167" s="17"/>
      <c r="J167" s="17"/>
      <c r="K167" s="17"/>
      <c r="L167" s="17"/>
      <c r="M167" s="17"/>
      <c r="N167" s="17"/>
      <c r="O167" s="17"/>
      <c r="P167" s="17"/>
    </row>
    <row r="168" spans="1:16" x14ac:dyDescent="0.25">
      <c r="A168" s="17">
        <v>167</v>
      </c>
      <c r="B168" s="17" t="s">
        <v>96</v>
      </c>
      <c r="C168" s="17" t="s">
        <v>98</v>
      </c>
      <c r="D168" s="17" t="s">
        <v>111</v>
      </c>
      <c r="E168" s="17" t="s">
        <v>39</v>
      </c>
      <c r="F168" s="17" t="s">
        <v>10</v>
      </c>
      <c r="G168" s="17" t="str">
        <f>IF(C168="","",IFERROR(IF(INDEX(UnidadMedida!$B$1:$B$30,MATCH(C168,UnidadMedida!$A$1:$A$30,0))="","",INDEX(UnidadMedida!$B$1:$B$30,MATCH(C168,UnidadMedida!$A$1:$A$30,0))),""))</f>
        <v/>
      </c>
      <c r="H168" s="17"/>
      <c r="I168" s="17"/>
      <c r="J168" s="17"/>
      <c r="K168" s="17"/>
      <c r="L168" s="17"/>
      <c r="M168" s="17"/>
      <c r="N168" s="17"/>
      <c r="O168" s="17"/>
      <c r="P168" s="17"/>
    </row>
    <row r="169" spans="1:16" x14ac:dyDescent="0.25">
      <c r="A169" s="17">
        <v>168</v>
      </c>
      <c r="B169" s="17" t="s">
        <v>96</v>
      </c>
      <c r="C169" s="17" t="s">
        <v>99</v>
      </c>
      <c r="D169" s="17" t="s">
        <v>112</v>
      </c>
      <c r="E169" s="17" t="s">
        <v>100</v>
      </c>
      <c r="F169" s="17" t="s">
        <v>10</v>
      </c>
      <c r="G169" s="17" t="str">
        <f>IF(C169="","",IFERROR(IF(INDEX(UnidadMedida!$B$1:$B$30,MATCH(C169,UnidadMedida!$A$1:$A$30,0))="","",INDEX(UnidadMedida!$B$1:$B$30,MATCH(C169,UnidadMedida!$A$1:$A$30,0))),""))</f>
        <v/>
      </c>
      <c r="H169" s="17"/>
      <c r="I169" s="17"/>
      <c r="J169" s="17"/>
      <c r="K169" s="17"/>
      <c r="L169" s="17"/>
      <c r="M169" s="17"/>
      <c r="N169" s="17"/>
      <c r="O169" s="17"/>
      <c r="P169" s="17"/>
    </row>
    <row r="170" spans="1:16" x14ac:dyDescent="0.25">
      <c r="A170" s="17">
        <v>169</v>
      </c>
      <c r="B170" s="17" t="s">
        <v>96</v>
      </c>
      <c r="C170" s="17" t="s">
        <v>99</v>
      </c>
      <c r="D170" s="17" t="s">
        <v>112</v>
      </c>
      <c r="E170" s="17" t="s">
        <v>42</v>
      </c>
      <c r="F170" s="17" t="s">
        <v>22</v>
      </c>
      <c r="G170" s="17" t="str">
        <f>IF(C170="","",IFERROR(IF(INDEX(UnidadMedida!$B$1:$B$30,MATCH(C170,UnidadMedida!$A$1:$A$30,0))="","",INDEX(UnidadMedida!$B$1:$B$30,MATCH(C170,UnidadMedida!$A$1:$A$30,0))),""))</f>
        <v/>
      </c>
      <c r="H170" s="17"/>
      <c r="I170" s="17"/>
      <c r="J170" s="17"/>
      <c r="K170" s="17"/>
      <c r="L170" s="17"/>
      <c r="M170" s="17"/>
      <c r="N170" s="17"/>
      <c r="O170" s="17"/>
      <c r="P170" s="17"/>
    </row>
    <row r="171" spans="1:16" x14ac:dyDescent="0.25">
      <c r="A171" s="17">
        <v>170</v>
      </c>
      <c r="B171" s="17" t="s">
        <v>96</v>
      </c>
      <c r="C171" s="17" t="s">
        <v>84</v>
      </c>
      <c r="D171" s="17" t="s">
        <v>12</v>
      </c>
      <c r="E171" s="17" t="s">
        <v>48</v>
      </c>
      <c r="F171" s="17" t="s">
        <v>10</v>
      </c>
      <c r="G171" s="17" t="str">
        <f>IF(C171="","",IFERROR(IF(INDEX(UnidadMedida!$B$1:$B$30,MATCH(C171,UnidadMedida!$A$1:$A$30,0))="","",INDEX(UnidadMedida!$B$1:$B$30,MATCH(C171,UnidadMedida!$A$1:$A$30,0))),""))</f>
        <v/>
      </c>
      <c r="H171" s="17"/>
      <c r="I171" s="17"/>
      <c r="J171" s="17"/>
      <c r="K171" s="17"/>
      <c r="L171" s="17"/>
      <c r="M171" s="17"/>
      <c r="N171" s="17"/>
      <c r="O171" s="17"/>
      <c r="P171" s="17"/>
    </row>
    <row r="172" spans="1:16" x14ac:dyDescent="0.25">
      <c r="A172" s="17">
        <v>171</v>
      </c>
      <c r="B172" s="17" t="s">
        <v>96</v>
      </c>
      <c r="C172" s="17" t="s">
        <v>84</v>
      </c>
      <c r="D172" s="17" t="s">
        <v>12</v>
      </c>
      <c r="E172" s="17" t="s">
        <v>54</v>
      </c>
      <c r="F172" s="17" t="s">
        <v>10</v>
      </c>
      <c r="G172" s="17" t="str">
        <f>IF(C172="","",IFERROR(IF(INDEX(UnidadMedida!$B$1:$B$30,MATCH(C172,UnidadMedida!$A$1:$A$30,0))="","",INDEX(UnidadMedida!$B$1:$B$30,MATCH(C172,UnidadMedida!$A$1:$A$30,0))),""))</f>
        <v/>
      </c>
      <c r="H172" s="17"/>
      <c r="I172" s="17"/>
      <c r="J172" s="17"/>
      <c r="K172" s="17"/>
      <c r="L172" s="17"/>
      <c r="M172" s="17"/>
      <c r="N172" s="17"/>
      <c r="O172" s="17"/>
      <c r="P172" s="17"/>
    </row>
    <row r="173" spans="1:16" x14ac:dyDescent="0.25">
      <c r="A173" s="17">
        <v>172</v>
      </c>
      <c r="B173" s="17" t="s">
        <v>96</v>
      </c>
      <c r="C173" s="17" t="s">
        <v>84</v>
      </c>
      <c r="D173" s="17" t="s">
        <v>12</v>
      </c>
      <c r="E173" s="17" t="s">
        <v>62</v>
      </c>
      <c r="F173" s="17" t="s">
        <v>10</v>
      </c>
      <c r="G173" s="17" t="str">
        <f>IF(C173="","",IFERROR(IF(INDEX(UnidadMedida!$B$1:$B$30,MATCH(C173,UnidadMedida!$A$1:$A$30,0))="","",INDEX(UnidadMedida!$B$1:$B$30,MATCH(C173,UnidadMedida!$A$1:$A$30,0))),""))</f>
        <v/>
      </c>
      <c r="H173" s="17"/>
      <c r="I173" s="17"/>
      <c r="J173" s="17"/>
      <c r="K173" s="17"/>
      <c r="L173" s="17"/>
      <c r="M173" s="17"/>
      <c r="N173" s="17"/>
      <c r="O173" s="17"/>
      <c r="P173" s="17"/>
    </row>
    <row r="174" spans="1:16" x14ac:dyDescent="0.25">
      <c r="A174" s="17">
        <v>173</v>
      </c>
      <c r="B174" s="17" t="s">
        <v>96</v>
      </c>
      <c r="C174" s="17" t="s">
        <v>84</v>
      </c>
      <c r="D174" s="17" t="s">
        <v>12</v>
      </c>
      <c r="E174" s="17" t="s">
        <v>64</v>
      </c>
      <c r="F174" s="17" t="s">
        <v>10</v>
      </c>
      <c r="G174" s="17" t="str">
        <f>IF(C174="","",IFERROR(IF(INDEX(UnidadMedida!$B$1:$B$30,MATCH(C174,UnidadMedida!$A$1:$A$30,0))="","",INDEX(UnidadMedida!$B$1:$B$30,MATCH(C174,UnidadMedida!$A$1:$A$30,0))),""))</f>
        <v/>
      </c>
      <c r="H174" s="17"/>
      <c r="I174" s="17"/>
      <c r="J174" s="17"/>
      <c r="K174" s="17"/>
      <c r="L174" s="17"/>
      <c r="M174" s="17"/>
      <c r="N174" s="17"/>
      <c r="O174" s="17"/>
      <c r="P174" s="17"/>
    </row>
    <row r="175" spans="1:16" x14ac:dyDescent="0.25">
      <c r="A175" s="17">
        <v>174</v>
      </c>
      <c r="B175" s="17" t="s">
        <v>96</v>
      </c>
      <c r="C175" s="17" t="s">
        <v>84</v>
      </c>
      <c r="D175" s="17" t="s">
        <v>12</v>
      </c>
      <c r="E175" s="17" t="s">
        <v>89</v>
      </c>
      <c r="F175" s="17" t="s">
        <v>10</v>
      </c>
      <c r="G175" s="17" t="str">
        <f>IF(C175="","",IFERROR(IF(INDEX(UnidadMedida!$B$1:$B$30,MATCH(C175,UnidadMedida!$A$1:$A$30,0))="","",INDEX(UnidadMedida!$B$1:$B$30,MATCH(C175,UnidadMedida!$A$1:$A$30,0))),""))</f>
        <v/>
      </c>
      <c r="H175" s="17"/>
      <c r="I175" s="17"/>
      <c r="J175" s="17"/>
      <c r="K175" s="17"/>
      <c r="L175" s="17"/>
      <c r="M175" s="17"/>
      <c r="N175" s="17"/>
      <c r="O175" s="17"/>
      <c r="P175" s="17"/>
    </row>
    <row r="176" spans="1:16" x14ac:dyDescent="0.25">
      <c r="A176" s="17">
        <v>175</v>
      </c>
      <c r="B176" s="17" t="s">
        <v>96</v>
      </c>
      <c r="C176" s="17" t="s">
        <v>84</v>
      </c>
      <c r="D176" s="17" t="s">
        <v>12</v>
      </c>
      <c r="E176" s="17" t="s">
        <v>90</v>
      </c>
      <c r="F176" s="17" t="s">
        <v>10</v>
      </c>
      <c r="G176" s="17" t="str">
        <f>IF(C176="","",IFERROR(IF(INDEX(UnidadMedida!$B$1:$B$30,MATCH(C176,UnidadMedida!$A$1:$A$30,0))="","",INDEX(UnidadMedida!$B$1:$B$30,MATCH(C176,UnidadMedida!$A$1:$A$30,0))),""))</f>
        <v/>
      </c>
      <c r="H176" s="17"/>
      <c r="I176" s="17"/>
      <c r="J176" s="17"/>
      <c r="K176" s="17"/>
      <c r="L176" s="17"/>
      <c r="M176" s="17"/>
      <c r="N176" s="17"/>
      <c r="O176" s="17"/>
      <c r="P176" s="17"/>
    </row>
    <row r="177" spans="1:16" x14ac:dyDescent="0.25">
      <c r="A177" s="17">
        <v>176</v>
      </c>
      <c r="B177" s="17" t="s">
        <v>96</v>
      </c>
      <c r="C177" s="17" t="s">
        <v>84</v>
      </c>
      <c r="D177" s="17" t="s">
        <v>12</v>
      </c>
      <c r="E177" s="17" t="s">
        <v>65</v>
      </c>
      <c r="F177" s="17" t="s">
        <v>10</v>
      </c>
      <c r="G177" s="17" t="str">
        <f>IF(C177="","",IFERROR(IF(INDEX(UnidadMedida!$B$1:$B$30,MATCH(C177,UnidadMedida!$A$1:$A$30,0))="","",INDEX(UnidadMedida!$B$1:$B$30,MATCH(C177,UnidadMedida!$A$1:$A$30,0))),""))</f>
        <v/>
      </c>
      <c r="H177" s="17"/>
      <c r="I177" s="17"/>
      <c r="J177" s="17"/>
      <c r="K177" s="17"/>
      <c r="L177" s="17"/>
      <c r="M177" s="17"/>
      <c r="N177" s="17"/>
      <c r="O177" s="17"/>
      <c r="P177" s="17"/>
    </row>
    <row r="178" spans="1:16" x14ac:dyDescent="0.25">
      <c r="A178" s="17">
        <v>177</v>
      </c>
      <c r="B178" s="17" t="s">
        <v>96</v>
      </c>
      <c r="C178" s="17" t="s">
        <v>84</v>
      </c>
      <c r="D178" s="17" t="s">
        <v>12</v>
      </c>
      <c r="E178" s="17" t="s">
        <v>66</v>
      </c>
      <c r="F178" s="17" t="s">
        <v>10</v>
      </c>
      <c r="G178" s="17" t="str">
        <f>IF(C178="","",IFERROR(IF(INDEX(UnidadMedida!$B$1:$B$30,MATCH(C178,UnidadMedida!$A$1:$A$30,0))="","",INDEX(UnidadMedida!$B$1:$B$30,MATCH(C178,UnidadMedida!$A$1:$A$30,0))),""))</f>
        <v/>
      </c>
      <c r="H178" s="17"/>
      <c r="I178" s="17"/>
      <c r="J178" s="17"/>
      <c r="K178" s="17"/>
      <c r="L178" s="17"/>
      <c r="M178" s="17"/>
      <c r="N178" s="17"/>
      <c r="O178" s="17"/>
      <c r="P178" s="17"/>
    </row>
    <row r="179" spans="1:16" x14ac:dyDescent="0.25">
      <c r="A179" s="17">
        <v>178</v>
      </c>
      <c r="B179" s="17" t="s">
        <v>96</v>
      </c>
      <c r="C179" s="17" t="s">
        <v>84</v>
      </c>
      <c r="D179" s="17" t="s">
        <v>12</v>
      </c>
      <c r="E179" s="17" t="s">
        <v>70</v>
      </c>
      <c r="F179" s="17" t="s">
        <v>10</v>
      </c>
      <c r="G179" s="17" t="str">
        <f>IF(C179="","",IFERROR(IF(INDEX(UnidadMedida!$B$1:$B$30,MATCH(C179,UnidadMedida!$A$1:$A$30,0))="","",INDEX(UnidadMedida!$B$1:$B$30,MATCH(C179,UnidadMedida!$A$1:$A$30,0))),""))</f>
        <v/>
      </c>
      <c r="H179" s="17"/>
      <c r="I179" s="17"/>
      <c r="J179" s="17"/>
      <c r="K179" s="17"/>
      <c r="L179" s="17"/>
      <c r="M179" s="17"/>
      <c r="N179" s="17"/>
      <c r="O179" s="17"/>
      <c r="P179" s="17"/>
    </row>
    <row r="180" spans="1:16" x14ac:dyDescent="0.25">
      <c r="A180" s="17">
        <v>179</v>
      </c>
      <c r="B180" s="17" t="s">
        <v>96</v>
      </c>
      <c r="C180" s="17" t="s">
        <v>84</v>
      </c>
      <c r="D180" s="17" t="s">
        <v>12</v>
      </c>
      <c r="E180" s="17" t="s">
        <v>75</v>
      </c>
      <c r="F180" s="17" t="s">
        <v>10</v>
      </c>
      <c r="G180" s="17" t="str">
        <f>IF(C180="","",IFERROR(IF(INDEX(UnidadMedida!$B$1:$B$30,MATCH(C180,UnidadMedida!$A$1:$A$30,0))="","",INDEX(UnidadMedida!$B$1:$B$30,MATCH(C180,UnidadMedida!$A$1:$A$30,0))),""))</f>
        <v/>
      </c>
      <c r="H180" s="17"/>
      <c r="I180" s="17"/>
      <c r="J180" s="17"/>
      <c r="K180" s="17"/>
      <c r="L180" s="17"/>
      <c r="M180" s="17"/>
      <c r="N180" s="17"/>
      <c r="O180" s="17"/>
      <c r="P180" s="17"/>
    </row>
    <row r="181" spans="1:16" x14ac:dyDescent="0.25">
      <c r="A181" s="17">
        <v>180</v>
      </c>
      <c r="B181" s="17" t="s">
        <v>96</v>
      </c>
      <c r="C181" s="17" t="s">
        <v>84</v>
      </c>
      <c r="D181" s="17" t="s">
        <v>12</v>
      </c>
      <c r="E181" s="17" t="s">
        <v>76</v>
      </c>
      <c r="F181" s="17" t="s">
        <v>22</v>
      </c>
      <c r="G181" s="17" t="str">
        <f>IF(C181="","",IFERROR(IF(INDEX(UnidadMedida!$B$1:$B$30,MATCH(C181,UnidadMedida!$A$1:$A$30,0))="","",INDEX(UnidadMedida!$B$1:$B$30,MATCH(C181,UnidadMedida!$A$1:$A$30,0))),""))</f>
        <v/>
      </c>
      <c r="H181" s="17"/>
      <c r="I181" s="17"/>
      <c r="J181" s="17"/>
      <c r="K181" s="17"/>
      <c r="L181" s="17"/>
      <c r="M181" s="17"/>
      <c r="N181" s="17"/>
      <c r="O181" s="17"/>
      <c r="P181" s="17"/>
    </row>
    <row r="182" spans="1:16" x14ac:dyDescent="0.25">
      <c r="A182" s="17">
        <v>181</v>
      </c>
      <c r="B182" s="17" t="s">
        <v>96</v>
      </c>
      <c r="C182" s="17" t="s">
        <v>84</v>
      </c>
      <c r="D182" s="17" t="s">
        <v>12</v>
      </c>
      <c r="E182" s="17" t="s">
        <v>77</v>
      </c>
      <c r="F182" s="17" t="s">
        <v>10</v>
      </c>
      <c r="G182" s="17" t="str">
        <f>IF(C182="","",IFERROR(IF(INDEX(UnidadMedida!$B$1:$B$30,MATCH(C182,UnidadMedida!$A$1:$A$30,0))="","",INDEX(UnidadMedida!$B$1:$B$30,MATCH(C182,UnidadMedida!$A$1:$A$30,0))),""))</f>
        <v/>
      </c>
      <c r="H182" s="17"/>
      <c r="I182" s="17"/>
      <c r="J182" s="17"/>
      <c r="K182" s="17"/>
      <c r="L182" s="17"/>
      <c r="M182" s="17"/>
      <c r="N182" s="17"/>
      <c r="O182" s="17"/>
      <c r="P182" s="17"/>
    </row>
  </sheetData>
  <autoFilter ref="A1:P182" xr:uid="{339774BC-59A6-4A79-9C09-252985CA5580}"/>
  <pageMargins left="0.75" right="0.75" top="1" bottom="1" header="0.5" footer="0.5"/>
  <pageSetup paperSize="9" scale="1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4FCE-93D5-4E9E-AABF-B957998952D7}">
  <dimension ref="A1:B30"/>
  <sheetViews>
    <sheetView workbookViewId="0">
      <selection activeCell="A25" sqref="A25"/>
    </sheetView>
  </sheetViews>
  <sheetFormatPr baseColWidth="10" defaultRowHeight="15" x14ac:dyDescent="0.25"/>
  <cols>
    <col min="1" max="1" width="99.5703125" bestFit="1" customWidth="1"/>
  </cols>
  <sheetData>
    <row r="1" spans="1:2" x14ac:dyDescent="0.25">
      <c r="A1" s="7" t="s">
        <v>132</v>
      </c>
      <c r="B1" s="7" t="s">
        <v>125</v>
      </c>
    </row>
    <row r="2" spans="1:2" x14ac:dyDescent="0.25">
      <c r="A2" s="28" t="s">
        <v>7</v>
      </c>
      <c r="B2" s="7" t="s">
        <v>126</v>
      </c>
    </row>
    <row r="3" spans="1:2" x14ac:dyDescent="0.25">
      <c r="A3" s="28" t="s">
        <v>11</v>
      </c>
      <c r="B3" s="7" t="s">
        <v>127</v>
      </c>
    </row>
    <row r="4" spans="1:2" x14ac:dyDescent="0.25">
      <c r="A4" s="28" t="s">
        <v>14</v>
      </c>
      <c r="B4" s="7" t="s">
        <v>127</v>
      </c>
    </row>
    <row r="5" spans="1:2" x14ac:dyDescent="0.25">
      <c r="A5" s="28" t="s">
        <v>16</v>
      </c>
      <c r="B5" s="7" t="s">
        <v>131</v>
      </c>
    </row>
    <row r="6" spans="1:2" x14ac:dyDescent="0.25">
      <c r="A6" s="28" t="s">
        <v>25</v>
      </c>
      <c r="B6" s="7" t="s">
        <v>129</v>
      </c>
    </row>
    <row r="7" spans="1:2" x14ac:dyDescent="0.25">
      <c r="A7" s="28" t="s">
        <v>27</v>
      </c>
      <c r="B7" s="7"/>
    </row>
    <row r="8" spans="1:2" x14ac:dyDescent="0.25">
      <c r="A8" s="28" t="s">
        <v>28</v>
      </c>
      <c r="B8" s="7"/>
    </row>
    <row r="9" spans="1:2" x14ac:dyDescent="0.25">
      <c r="A9" s="28" t="s">
        <v>30</v>
      </c>
      <c r="B9" s="7"/>
    </row>
    <row r="10" spans="1:2" x14ac:dyDescent="0.25">
      <c r="A10" s="28" t="s">
        <v>32</v>
      </c>
      <c r="B10" s="7"/>
    </row>
    <row r="11" spans="1:2" x14ac:dyDescent="0.25">
      <c r="A11" s="28" t="s">
        <v>33</v>
      </c>
      <c r="B11" s="7"/>
    </row>
    <row r="12" spans="1:2" x14ac:dyDescent="0.25">
      <c r="A12" s="28" t="s">
        <v>34</v>
      </c>
      <c r="B12" s="7" t="s">
        <v>126</v>
      </c>
    </row>
    <row r="13" spans="1:2" x14ac:dyDescent="0.25">
      <c r="A13" s="28" t="s">
        <v>36</v>
      </c>
      <c r="B13" s="7" t="s">
        <v>126</v>
      </c>
    </row>
    <row r="14" spans="1:2" x14ac:dyDescent="0.25">
      <c r="A14" s="28" t="s">
        <v>41</v>
      </c>
      <c r="B14" s="7"/>
    </row>
    <row r="15" spans="1:2" x14ac:dyDescent="0.25">
      <c r="A15" s="28" t="s">
        <v>43</v>
      </c>
      <c r="B15" s="7" t="s">
        <v>126</v>
      </c>
    </row>
    <row r="16" spans="1:2" x14ac:dyDescent="0.25">
      <c r="A16" s="28" t="s">
        <v>57</v>
      </c>
      <c r="B16" s="7" t="s">
        <v>128</v>
      </c>
    </row>
    <row r="17" spans="1:2" x14ac:dyDescent="0.25">
      <c r="A17" s="28" t="s">
        <v>59</v>
      </c>
      <c r="B17" s="7" t="s">
        <v>130</v>
      </c>
    </row>
    <row r="18" spans="1:2" x14ac:dyDescent="0.25">
      <c r="A18" s="28" t="s">
        <v>79</v>
      </c>
      <c r="B18" s="7"/>
    </row>
    <row r="19" spans="1:2" x14ac:dyDescent="0.25">
      <c r="A19" s="28" t="s">
        <v>80</v>
      </c>
      <c r="B19" s="7"/>
    </row>
    <row r="20" spans="1:2" x14ac:dyDescent="0.25">
      <c r="A20" s="28" t="s">
        <v>81</v>
      </c>
      <c r="B20" s="7"/>
    </row>
    <row r="21" spans="1:2" x14ac:dyDescent="0.25">
      <c r="A21" s="28" t="s">
        <v>83</v>
      </c>
      <c r="B21" s="7"/>
    </row>
    <row r="22" spans="1:2" x14ac:dyDescent="0.25">
      <c r="A22" s="28" t="s">
        <v>84</v>
      </c>
      <c r="B22" s="7"/>
    </row>
    <row r="23" spans="1:2" x14ac:dyDescent="0.25">
      <c r="A23" s="28" t="s">
        <v>85</v>
      </c>
      <c r="B23" s="7"/>
    </row>
    <row r="24" spans="1:2" x14ac:dyDescent="0.25">
      <c r="A24" s="28" t="s">
        <v>86</v>
      </c>
      <c r="B24" s="7" t="s">
        <v>130</v>
      </c>
    </row>
    <row r="25" spans="1:2" x14ac:dyDescent="0.25">
      <c r="A25" s="28" t="s">
        <v>87</v>
      </c>
      <c r="B25" s="7"/>
    </row>
    <row r="26" spans="1:2" x14ac:dyDescent="0.25">
      <c r="A26" s="28" t="s">
        <v>91</v>
      </c>
      <c r="B26" s="7"/>
    </row>
    <row r="27" spans="1:2" x14ac:dyDescent="0.25">
      <c r="A27" s="28" t="s">
        <v>94</v>
      </c>
      <c r="B27" s="7" t="s">
        <v>127</v>
      </c>
    </row>
    <row r="28" spans="1:2" x14ac:dyDescent="0.25">
      <c r="A28" s="28" t="s">
        <v>97</v>
      </c>
      <c r="B28" s="7"/>
    </row>
    <row r="29" spans="1:2" x14ac:dyDescent="0.25">
      <c r="A29" s="28" t="s">
        <v>98</v>
      </c>
      <c r="B29" s="7"/>
    </row>
    <row r="30" spans="1:2" x14ac:dyDescent="0.25">
      <c r="A30" s="28" t="s">
        <v>99</v>
      </c>
      <c r="B3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252C-7253-4738-B0AA-3AA654615B66}">
  <dimension ref="A1:O177"/>
  <sheetViews>
    <sheetView workbookViewId="0">
      <selection activeCell="J19" sqref="J18:J19"/>
    </sheetView>
  </sheetViews>
  <sheetFormatPr baseColWidth="10" defaultRowHeight="15" x14ac:dyDescent="0.25"/>
  <cols>
    <col min="1" max="1" width="16.5703125" bestFit="1" customWidth="1"/>
    <col min="2" max="2" width="12" bestFit="1" customWidth="1"/>
    <col min="3" max="3" width="14.42578125" bestFit="1" customWidth="1"/>
    <col min="4" max="4" width="17" bestFit="1" customWidth="1"/>
    <col min="5" max="5" width="15.42578125" bestFit="1" customWidth="1"/>
    <col min="6" max="6" width="17.140625" bestFit="1" customWidth="1"/>
    <col min="7" max="7" width="20.42578125" bestFit="1" customWidth="1"/>
    <col min="8" max="8" width="11.5703125" bestFit="1" customWidth="1"/>
    <col min="9" max="9" width="14" bestFit="1" customWidth="1"/>
    <col min="10" max="10" width="15" bestFit="1" customWidth="1"/>
    <col min="11" max="11" width="11.5703125" bestFit="1" customWidth="1"/>
    <col min="12" max="12" width="16.7109375" bestFit="1" customWidth="1"/>
    <col min="13" max="13" width="4" bestFit="1" customWidth="1"/>
    <col min="14" max="14" width="34" bestFit="1" customWidth="1"/>
    <col min="15" max="15" width="2" bestFit="1" customWidth="1"/>
  </cols>
  <sheetData>
    <row r="1" spans="1:15" x14ac:dyDescent="0.25">
      <c r="A1" s="3" t="s">
        <v>113</v>
      </c>
      <c r="B1" s="3" t="s">
        <v>114</v>
      </c>
      <c r="C1" s="3" t="s">
        <v>115</v>
      </c>
      <c r="D1" s="3" t="s">
        <v>60</v>
      </c>
      <c r="E1" s="3" t="s">
        <v>43</v>
      </c>
      <c r="F1" s="3" t="s">
        <v>58</v>
      </c>
      <c r="G1" s="3" t="s">
        <v>116</v>
      </c>
      <c r="H1" s="3" t="s">
        <v>12</v>
      </c>
      <c r="I1" s="3" t="s">
        <v>15</v>
      </c>
      <c r="J1" s="3" t="s">
        <v>17</v>
      </c>
      <c r="K1" s="3" t="s">
        <v>117</v>
      </c>
      <c r="L1" s="3" t="s">
        <v>118</v>
      </c>
      <c r="N1" s="3" t="s">
        <v>119</v>
      </c>
    </row>
    <row r="2" spans="1:15" x14ac:dyDescent="0.25">
      <c r="A2" s="3">
        <f t="shared" ref="A2:F2" ca="1" si="0">COUNTA(INDIRECT(A1&amp;"!A2#"))</f>
        <v>18</v>
      </c>
      <c r="B2" s="3">
        <f t="shared" ca="1" si="0"/>
        <v>4</v>
      </c>
      <c r="C2" s="3">
        <f t="shared" ca="1" si="0"/>
        <v>3</v>
      </c>
      <c r="D2" s="3">
        <f t="shared" ca="1" si="0"/>
        <v>12</v>
      </c>
      <c r="E2" s="3">
        <f t="shared" ca="1" si="0"/>
        <v>1</v>
      </c>
      <c r="F2" s="3">
        <f t="shared" ca="1" si="0"/>
        <v>2</v>
      </c>
      <c r="G2" s="3">
        <f>COUNTA(_xlfn.ANCHORARRAY('Agitación-Oleaje'!B2))</f>
        <v>13</v>
      </c>
      <c r="H2" s="3">
        <f ca="1">COUNTA(INDIRECT(H1&amp;"!A2#"))</f>
        <v>43</v>
      </c>
      <c r="I2" s="3">
        <f ca="1">COUNTA(INDIRECT(I1&amp;"!A2#"))</f>
        <v>4</v>
      </c>
      <c r="J2" s="3">
        <f ca="1">COUNTA(INDIRECT(J1&amp;"!A2#"))</f>
        <v>10</v>
      </c>
      <c r="K2" s="3">
        <f ca="1">COUNTA(INDIRECT(K1&amp;"!A2#"))</f>
        <v>15</v>
      </c>
      <c r="L2" s="3">
        <f ca="1">COUNTA(INDIRECT(L1&amp;"!A2#"))</f>
        <v>4</v>
      </c>
      <c r="M2" s="3">
        <f ca="1">+SUM(A2:L2)</f>
        <v>129</v>
      </c>
      <c r="N2" s="3">
        <f>+COUNT('ListRelacion impactos-indicador'!A2:A182)</f>
        <v>181</v>
      </c>
      <c r="O2" s="3">
        <f ca="1">+N2-M2</f>
        <v>52</v>
      </c>
    </row>
    <row r="3" spans="1:15" x14ac:dyDescent="0.25">
      <c r="A3" s="18" t="str" cm="1">
        <f t="array" aca="1" ref="A3:A20" ca="1">_xlfn._xlws.FILTER(INDIRECT("'"&amp;A1&amp;"'!A2:A176"),INDIRECT("'"&amp;A1&amp;"'!A2:A176")&lt;&gt;"","")</f>
        <v>Compuestos</v>
      </c>
      <c r="B3" s="18" t="str" cm="1">
        <f t="array" aca="1" ref="B3:B6" ca="1">_xlfn._xlws.FILTER(INDIRECT("'"&amp;B1&amp;"'!A2:A176"),INDIRECT("'"&amp;B1&amp;"'!A2:A176")&lt;&gt;"","")</f>
        <v>Rebase</v>
      </c>
      <c r="C3" s="18" t="str" cm="1">
        <f t="array" aca="1" ref="C3:C5" ca="1">_xlfn._xlws.FILTER(INDIRECT("'"&amp;C1&amp;"'!A2:A176"),INDIRECT("'"&amp;C1&amp;"'!A2:A176")&lt;&gt;"","")</f>
        <v>Asociados</v>
      </c>
      <c r="D3" s="18" t="str" cm="1">
        <f t="array" aca="1" ref="D3:D14" ca="1">_xlfn._xlws.FILTER(INDIRECT("'"&amp;D1&amp;"'!A2:A176"),INDIRECT("'"&amp;D1&amp;"'!A2:A176")&lt;&gt;"","")</f>
        <v>Temperatura</v>
      </c>
      <c r="E3" s="18" t="e" cm="1">
        <f t="array" aca="1" ref="E3" ca="1">_xlfn._xlws.FILTER(INDIRECT("'"&amp;E1&amp;"'!A2:A176"),INDIRECT("'"&amp;E1&amp;"'!A2:A176")&lt;&gt;"","")</f>
        <v>#REF!</v>
      </c>
      <c r="F3" s="18" t="str" cm="1">
        <f t="array" aca="1" ref="F3:F4" ca="1">_xlfn._xlws.FILTER(INDIRECT("'"&amp;F1&amp;"'!A2:A176"),INDIRECT("'"&amp;F1&amp;"'!A2:A176")&lt;&gt;"","")</f>
        <v>Precipitación</v>
      </c>
      <c r="G3" s="18" t="str" cm="1">
        <f t="array" aca="1" ref="G3:G15" ca="1">_xlfn._xlws.FILTER(INDIRECT("'"&amp;G1&amp;"'!A2:A176"),INDIRECT("'"&amp;G1&amp;"'!A2:A176")&lt;&gt;"","")</f>
        <v>Agitación-Oleaje</v>
      </c>
      <c r="H3" s="18" t="str" cm="1">
        <f t="array" aca="1" ref="H3:H45" ca="1">_xlfn._xlws.FILTER(INDIRECT("'"&amp;H1&amp;"'!A2:A176"),INDIRECT("'"&amp;H1&amp;"'!A2:A176")&lt;&gt;"","")</f>
        <v>Viento</v>
      </c>
      <c r="I3" s="18" t="str" cm="1">
        <f t="array" aca="1" ref="I3:I6" ca="1">_xlfn._xlws.FILTER(INDIRECT("'"&amp;I1&amp;"'!A2:A176"),INDIRECT("'"&amp;I1&amp;"'!A2:A176")&lt;&gt;"","")</f>
        <v>Corriente</v>
      </c>
      <c r="J3" s="18" t="str" cm="1">
        <f t="array" aca="1" ref="J3:J12" ca="1">_xlfn._xlws.FILTER(INDIRECT("'"&amp;J1&amp;"'!A2:A176"),INDIRECT("'"&amp;J1&amp;"'!A2:A176")&lt;&gt;"","")</f>
        <v>Visibilidad</v>
      </c>
      <c r="K3" t="str" cm="1">
        <f t="array" aca="1" ref="K3:K17" ca="1">_xlfn._xlws.FILTER(INDIRECT("'"&amp;K1&amp;"'!A2:A176"),INDIRECT("'"&amp;K1&amp;"'!A2:A176")&lt;&gt;"","")</f>
        <v>Calado</v>
      </c>
      <c r="L3" s="18" t="str" cm="1">
        <f t="array" aca="1" ref="L3:L6" ca="1">_xlfn._xlws.FILTER(INDIRECT("'"&amp;L1&amp;"'!A2:A176"),INDIRECT("'"&amp;L1&amp;"'!A2:A176")&lt;&gt;"","")</f>
        <v>Francobordo</v>
      </c>
      <c r="M3" cm="1">
        <f t="array" ref="M3:M177">_xlfn._xlws.FILTER(_xlfn.SEQUENCE(175),ISERROR(MATCH(_xlfn.SEQUENCE(175),A3:L55,0)))</f>
        <v>1</v>
      </c>
      <c r="N3" cm="1">
        <f t="array" aca="1" ref="N3:N177" ca="1">_xlfn._xlws.FILTER(INDIRECT("'"&amp;N1&amp;"'!A2:A176"),INDIRECT("'"&amp;N1&amp;"'!A2:A176")&lt;&gt;"","")</f>
        <v>1</v>
      </c>
      <c r="O3" t="str">
        <f ca="1">+IF(M3=N3,"","E")</f>
        <v/>
      </c>
    </row>
    <row r="4" spans="1:15" x14ac:dyDescent="0.25">
      <c r="A4" s="18" t="str">
        <f ca="1"/>
        <v>Compuestos</v>
      </c>
      <c r="B4" s="18" t="str">
        <f ca="1"/>
        <v>Rebase</v>
      </c>
      <c r="C4" s="18" t="str">
        <f ca="1"/>
        <v>Asociados</v>
      </c>
      <c r="D4" s="18" t="str">
        <f ca="1"/>
        <v>Temperatura</v>
      </c>
      <c r="E4" s="18"/>
      <c r="F4" s="18" t="str">
        <f ca="1"/>
        <v>Precipitación</v>
      </c>
      <c r="G4" s="18" t="str">
        <f ca="1"/>
        <v>Agitación-Oleaje</v>
      </c>
      <c r="H4" s="18" t="str">
        <f ca="1"/>
        <v>Viento</v>
      </c>
      <c r="I4" s="18" t="str">
        <f ca="1"/>
        <v>Corriente</v>
      </c>
      <c r="J4" s="18" t="str">
        <f ca="1"/>
        <v>Visibilidad</v>
      </c>
      <c r="K4" s="18" t="str">
        <f ca="1"/>
        <v>Calado</v>
      </c>
      <c r="L4" s="18" t="str">
        <f ca="1"/>
        <v>Francobordo</v>
      </c>
      <c r="M4">
        <v>2</v>
      </c>
      <c r="N4">
        <f ca="1"/>
        <v>2</v>
      </c>
      <c r="O4" t="str">
        <f t="shared" ref="O4:O67" ca="1" si="1">+IF(M4=N4,"","E")</f>
        <v/>
      </c>
    </row>
    <row r="5" spans="1:15" x14ac:dyDescent="0.25">
      <c r="A5" s="18" t="str">
        <f ca="1"/>
        <v>Compuestos</v>
      </c>
      <c r="B5" s="18" t="str">
        <f ca="1"/>
        <v>Rebase</v>
      </c>
      <c r="C5" s="18" t="str">
        <f ca="1"/>
        <v>Asociados</v>
      </c>
      <c r="D5" s="18" t="str">
        <f ca="1"/>
        <v>Temperatura</v>
      </c>
      <c r="E5" s="18"/>
      <c r="G5" s="18" t="str">
        <f ca="1"/>
        <v>Agitación-Oleaje</v>
      </c>
      <c r="H5" s="18" t="str">
        <f ca="1"/>
        <v>Viento</v>
      </c>
      <c r="I5" s="18" t="str">
        <f ca="1"/>
        <v>Corriente</v>
      </c>
      <c r="J5" s="18" t="str">
        <f ca="1"/>
        <v>Visibilidad</v>
      </c>
      <c r="K5" s="18" t="str">
        <f ca="1"/>
        <v>Calado</v>
      </c>
      <c r="L5" s="18" t="str">
        <f ca="1"/>
        <v>Francobordo</v>
      </c>
      <c r="M5">
        <v>3</v>
      </c>
      <c r="N5">
        <f ca="1"/>
        <v>3</v>
      </c>
      <c r="O5" t="str">
        <f t="shared" ca="1" si="1"/>
        <v/>
      </c>
    </row>
    <row r="6" spans="1:15" x14ac:dyDescent="0.25">
      <c r="A6" s="18" t="str">
        <f ca="1"/>
        <v>Compuestos</v>
      </c>
      <c r="B6" s="18" t="str">
        <f ca="1"/>
        <v>Rebase</v>
      </c>
      <c r="D6" s="18" t="str">
        <f ca="1"/>
        <v>Temperatura</v>
      </c>
      <c r="E6" s="18"/>
      <c r="G6" s="18" t="str">
        <f ca="1"/>
        <v>Agitación-Oleaje</v>
      </c>
      <c r="H6" s="18" t="str">
        <f ca="1"/>
        <v>Viento</v>
      </c>
      <c r="I6" t="str">
        <f ca="1"/>
        <v>Corriente</v>
      </c>
      <c r="J6" s="18" t="str">
        <f ca="1"/>
        <v>Visibilidad</v>
      </c>
      <c r="K6" s="18" t="str">
        <f ca="1"/>
        <v>Calado</v>
      </c>
      <c r="L6" s="18" t="str">
        <f ca="1"/>
        <v>Francobordo</v>
      </c>
      <c r="M6">
        <v>4</v>
      </c>
      <c r="N6">
        <f ca="1"/>
        <v>4</v>
      </c>
      <c r="O6" t="str">
        <f t="shared" ca="1" si="1"/>
        <v/>
      </c>
    </row>
    <row r="7" spans="1:15" x14ac:dyDescent="0.25">
      <c r="A7" s="18" t="str">
        <f ca="1"/>
        <v>Compuestos</v>
      </c>
      <c r="D7" s="18" t="str">
        <f ca="1"/>
        <v>Temperatura</v>
      </c>
      <c r="E7" s="18"/>
      <c r="G7" s="18" t="str">
        <f ca="1"/>
        <v>Agitación-Oleaje</v>
      </c>
      <c r="H7" s="18" t="str">
        <f ca="1"/>
        <v>Viento</v>
      </c>
      <c r="J7" s="18" t="str">
        <f ca="1"/>
        <v>Visibilidad</v>
      </c>
      <c r="K7" s="18" t="str">
        <f ca="1"/>
        <v>Calado</v>
      </c>
      <c r="M7">
        <v>5</v>
      </c>
      <c r="N7">
        <f ca="1"/>
        <v>5</v>
      </c>
      <c r="O7" t="str">
        <f t="shared" ca="1" si="1"/>
        <v/>
      </c>
    </row>
    <row r="8" spans="1:15" x14ac:dyDescent="0.25">
      <c r="A8" s="18" t="str">
        <f ca="1"/>
        <v>Compuestos</v>
      </c>
      <c r="D8" s="18" t="str">
        <f ca="1"/>
        <v>Temperatura</v>
      </c>
      <c r="E8" s="18"/>
      <c r="G8" s="18" t="str">
        <f ca="1"/>
        <v>Agitación-Oleaje</v>
      </c>
      <c r="H8" s="18" t="str">
        <f ca="1"/>
        <v>Viento</v>
      </c>
      <c r="J8" s="18" t="str">
        <f ca="1"/>
        <v>Visibilidad</v>
      </c>
      <c r="K8" s="18" t="str">
        <f ca="1"/>
        <v>Calado</v>
      </c>
      <c r="M8">
        <v>6</v>
      </c>
      <c r="N8">
        <f ca="1"/>
        <v>6</v>
      </c>
      <c r="O8" t="str">
        <f t="shared" ca="1" si="1"/>
        <v/>
      </c>
    </row>
    <row r="9" spans="1:15" x14ac:dyDescent="0.25">
      <c r="A9" s="18" t="str">
        <f ca="1"/>
        <v>Compuestos</v>
      </c>
      <c r="D9" s="18" t="str">
        <f ca="1"/>
        <v>Temperatura</v>
      </c>
      <c r="E9" s="18"/>
      <c r="G9" s="18" t="str">
        <f ca="1"/>
        <v>Agitación-Oleaje</v>
      </c>
      <c r="H9" s="18" t="str">
        <f ca="1"/>
        <v>Viento</v>
      </c>
      <c r="J9" s="18" t="str">
        <f ca="1"/>
        <v>Visibilidad</v>
      </c>
      <c r="K9" s="18" t="str">
        <f ca="1"/>
        <v>Calado</v>
      </c>
      <c r="M9">
        <v>7</v>
      </c>
      <c r="N9">
        <f ca="1"/>
        <v>7</v>
      </c>
      <c r="O9" t="str">
        <f t="shared" ca="1" si="1"/>
        <v/>
      </c>
    </row>
    <row r="10" spans="1:15" x14ac:dyDescent="0.25">
      <c r="A10" s="18" t="str">
        <f ca="1"/>
        <v>Compuestos</v>
      </c>
      <c r="D10" s="18" t="str">
        <f ca="1"/>
        <v>Temperatura</v>
      </c>
      <c r="E10" s="18"/>
      <c r="G10" s="18" t="str">
        <f ca="1"/>
        <v>Agitación-Oleaje</v>
      </c>
      <c r="H10" s="18" t="str">
        <f ca="1"/>
        <v>Viento</v>
      </c>
      <c r="J10" s="18" t="str">
        <f ca="1"/>
        <v>Visibilidad</v>
      </c>
      <c r="K10" s="18" t="str">
        <f ca="1"/>
        <v>Calado</v>
      </c>
      <c r="M10">
        <v>8</v>
      </c>
      <c r="N10">
        <f ca="1"/>
        <v>8</v>
      </c>
      <c r="O10" t="str">
        <f t="shared" ca="1" si="1"/>
        <v/>
      </c>
    </row>
    <row r="11" spans="1:15" x14ac:dyDescent="0.25">
      <c r="A11" s="18" t="str">
        <f ca="1"/>
        <v>Compuestos</v>
      </c>
      <c r="D11" s="18" t="str">
        <f ca="1"/>
        <v>Temperatura</v>
      </c>
      <c r="E11" s="18"/>
      <c r="G11" s="18" t="str">
        <f ca="1"/>
        <v>Agitación-Oleaje</v>
      </c>
      <c r="H11" s="18" t="str">
        <f ca="1"/>
        <v>Viento</v>
      </c>
      <c r="J11" s="18" t="str">
        <f ca="1"/>
        <v>Visibilidad</v>
      </c>
      <c r="K11" s="18" t="str">
        <f ca="1"/>
        <v>Calado</v>
      </c>
      <c r="M11">
        <v>9</v>
      </c>
      <c r="N11">
        <f ca="1"/>
        <v>9</v>
      </c>
      <c r="O11" t="str">
        <f t="shared" ca="1" si="1"/>
        <v/>
      </c>
    </row>
    <row r="12" spans="1:15" x14ac:dyDescent="0.25">
      <c r="A12" s="18" t="str">
        <f ca="1"/>
        <v>Compuestos</v>
      </c>
      <c r="D12" s="18" t="str">
        <f ca="1"/>
        <v>Temperatura</v>
      </c>
      <c r="E12" s="18"/>
      <c r="G12" s="18" t="str">
        <f ca="1"/>
        <v>Agitación-Oleaje</v>
      </c>
      <c r="H12" s="18" t="str">
        <f ca="1"/>
        <v>Viento</v>
      </c>
      <c r="J12" t="str">
        <f ca="1"/>
        <v>Visibilidad</v>
      </c>
      <c r="K12" s="18" t="str">
        <f ca="1"/>
        <v>Calado</v>
      </c>
      <c r="M12">
        <v>10</v>
      </c>
      <c r="N12">
        <f ca="1"/>
        <v>10</v>
      </c>
      <c r="O12" t="str">
        <f t="shared" ca="1" si="1"/>
        <v/>
      </c>
    </row>
    <row r="13" spans="1:15" x14ac:dyDescent="0.25">
      <c r="A13" s="18" t="str">
        <f ca="1"/>
        <v>Compuestos</v>
      </c>
      <c r="D13" s="18" t="str">
        <f ca="1"/>
        <v>Temperatura</v>
      </c>
      <c r="E13" s="18"/>
      <c r="G13" s="18" t="str">
        <f ca="1"/>
        <v>Agitación-Oleaje</v>
      </c>
      <c r="H13" s="18" t="str">
        <f ca="1"/>
        <v>Viento</v>
      </c>
      <c r="K13" s="18" t="str">
        <f ca="1"/>
        <v>Calado</v>
      </c>
      <c r="M13">
        <v>11</v>
      </c>
      <c r="N13">
        <f ca="1"/>
        <v>11</v>
      </c>
      <c r="O13" t="str">
        <f t="shared" ca="1" si="1"/>
        <v/>
      </c>
    </row>
    <row r="14" spans="1:15" x14ac:dyDescent="0.25">
      <c r="A14" s="18" t="str">
        <f ca="1"/>
        <v>Compuestos</v>
      </c>
      <c r="D14" s="18" t="str">
        <f ca="1"/>
        <v>Temperatura</v>
      </c>
      <c r="E14" s="18"/>
      <c r="G14" s="18" t="str">
        <f ca="1"/>
        <v>Agitación-Oleaje</v>
      </c>
      <c r="H14" s="18" t="str">
        <f ca="1"/>
        <v>Viento</v>
      </c>
      <c r="K14" s="18" t="str">
        <f ca="1"/>
        <v>Calado</v>
      </c>
      <c r="M14">
        <v>12</v>
      </c>
      <c r="N14">
        <f ca="1"/>
        <v>12</v>
      </c>
      <c r="O14" t="str">
        <f t="shared" ca="1" si="1"/>
        <v/>
      </c>
    </row>
    <row r="15" spans="1:15" x14ac:dyDescent="0.25">
      <c r="A15" s="18" t="str">
        <f ca="1"/>
        <v>Compuestos</v>
      </c>
      <c r="E15" s="18"/>
      <c r="G15" t="str">
        <f ca="1"/>
        <v>Agitación-Oleaje</v>
      </c>
      <c r="H15" s="18" t="str">
        <f ca="1"/>
        <v>Viento</v>
      </c>
      <c r="K15" s="18" t="str">
        <f ca="1"/>
        <v>Calado</v>
      </c>
      <c r="M15">
        <v>13</v>
      </c>
      <c r="N15">
        <f ca="1"/>
        <v>13</v>
      </c>
      <c r="O15" t="str">
        <f t="shared" ca="1" si="1"/>
        <v/>
      </c>
    </row>
    <row r="16" spans="1:15" x14ac:dyDescent="0.25">
      <c r="A16" s="18" t="str">
        <f ca="1"/>
        <v>Compuestos</v>
      </c>
      <c r="E16" s="18"/>
      <c r="H16" s="18" t="str">
        <f ca="1"/>
        <v>Viento</v>
      </c>
      <c r="K16" t="str">
        <f ca="1"/>
        <v>Calado</v>
      </c>
      <c r="M16">
        <v>14</v>
      </c>
      <c r="N16">
        <f ca="1"/>
        <v>14</v>
      </c>
      <c r="O16" t="str">
        <f t="shared" ca="1" si="1"/>
        <v/>
      </c>
    </row>
    <row r="17" spans="1:15" x14ac:dyDescent="0.25">
      <c r="A17" s="18" t="str">
        <f ca="1"/>
        <v>Compuestos</v>
      </c>
      <c r="E17" s="18"/>
      <c r="H17" s="18" t="str">
        <f ca="1"/>
        <v>Viento</v>
      </c>
      <c r="K17" t="str">
        <f ca="1"/>
        <v>Calado</v>
      </c>
      <c r="M17">
        <v>15</v>
      </c>
      <c r="N17">
        <f ca="1"/>
        <v>15</v>
      </c>
      <c r="O17" t="str">
        <f t="shared" ca="1" si="1"/>
        <v/>
      </c>
    </row>
    <row r="18" spans="1:15" x14ac:dyDescent="0.25">
      <c r="A18" s="18" t="str">
        <f ca="1"/>
        <v>Compuestos</v>
      </c>
      <c r="E18" s="18"/>
      <c r="H18" s="18" t="str">
        <f ca="1"/>
        <v>Viento</v>
      </c>
      <c r="M18">
        <v>16</v>
      </c>
      <c r="N18">
        <f ca="1"/>
        <v>16</v>
      </c>
      <c r="O18" t="str">
        <f t="shared" ca="1" si="1"/>
        <v/>
      </c>
    </row>
    <row r="19" spans="1:15" x14ac:dyDescent="0.25">
      <c r="A19" s="18" t="str">
        <f ca="1"/>
        <v>Compuestos</v>
      </c>
      <c r="E19" s="18"/>
      <c r="H19" s="18" t="str">
        <f ca="1"/>
        <v>Viento</v>
      </c>
      <c r="M19">
        <v>17</v>
      </c>
      <c r="N19">
        <f ca="1"/>
        <v>17</v>
      </c>
      <c r="O19" t="str">
        <f t="shared" ca="1" si="1"/>
        <v/>
      </c>
    </row>
    <row r="20" spans="1:15" x14ac:dyDescent="0.25">
      <c r="A20" s="18" t="str">
        <f ca="1"/>
        <v>Compuestos</v>
      </c>
      <c r="E20" s="18"/>
      <c r="H20" s="18" t="str">
        <f ca="1"/>
        <v>Viento</v>
      </c>
      <c r="M20">
        <v>18</v>
      </c>
      <c r="N20">
        <f ca="1"/>
        <v>18</v>
      </c>
      <c r="O20" t="str">
        <f t="shared" ca="1" si="1"/>
        <v/>
      </c>
    </row>
    <row r="21" spans="1:15" x14ac:dyDescent="0.25">
      <c r="E21" s="18"/>
      <c r="H21" s="18" t="str">
        <f ca="1"/>
        <v>Viento</v>
      </c>
      <c r="M21">
        <v>19</v>
      </c>
      <c r="N21">
        <f ca="1"/>
        <v>19</v>
      </c>
      <c r="O21" t="str">
        <f t="shared" ca="1" si="1"/>
        <v/>
      </c>
    </row>
    <row r="22" spans="1:15" x14ac:dyDescent="0.25">
      <c r="E22" s="18"/>
      <c r="H22" s="18" t="str">
        <f ca="1"/>
        <v>Viento</v>
      </c>
      <c r="M22">
        <v>20</v>
      </c>
      <c r="N22">
        <f ca="1"/>
        <v>20</v>
      </c>
      <c r="O22" t="str">
        <f t="shared" ca="1" si="1"/>
        <v/>
      </c>
    </row>
    <row r="23" spans="1:15" x14ac:dyDescent="0.25">
      <c r="E23" s="18"/>
      <c r="H23" s="18" t="str">
        <f ca="1"/>
        <v>Viento</v>
      </c>
      <c r="M23">
        <v>21</v>
      </c>
      <c r="N23">
        <f ca="1"/>
        <v>21</v>
      </c>
      <c r="O23" t="str">
        <f t="shared" ca="1" si="1"/>
        <v/>
      </c>
    </row>
    <row r="24" spans="1:15" x14ac:dyDescent="0.25">
      <c r="E24" s="18"/>
      <c r="H24" s="18" t="str">
        <f ca="1"/>
        <v>Viento</v>
      </c>
      <c r="M24">
        <v>22</v>
      </c>
      <c r="N24">
        <f ca="1"/>
        <v>22</v>
      </c>
      <c r="O24" t="str">
        <f t="shared" ca="1" si="1"/>
        <v/>
      </c>
    </row>
    <row r="25" spans="1:15" x14ac:dyDescent="0.25">
      <c r="E25" s="18"/>
      <c r="H25" s="18" t="str">
        <f ca="1"/>
        <v>Viento</v>
      </c>
      <c r="M25">
        <v>23</v>
      </c>
      <c r="N25">
        <f ca="1"/>
        <v>23</v>
      </c>
      <c r="O25" t="str">
        <f t="shared" ca="1" si="1"/>
        <v/>
      </c>
    </row>
    <row r="26" spans="1:15" x14ac:dyDescent="0.25">
      <c r="E26" s="18"/>
      <c r="H26" s="18" t="str">
        <f ca="1"/>
        <v>Viento</v>
      </c>
      <c r="M26">
        <v>24</v>
      </c>
      <c r="N26">
        <f ca="1"/>
        <v>24</v>
      </c>
      <c r="O26" t="str">
        <f t="shared" ca="1" si="1"/>
        <v/>
      </c>
    </row>
    <row r="27" spans="1:15" x14ac:dyDescent="0.25">
      <c r="E27" s="18"/>
      <c r="H27" s="18" t="str">
        <f ca="1"/>
        <v>Viento</v>
      </c>
      <c r="M27">
        <v>25</v>
      </c>
      <c r="N27">
        <f ca="1"/>
        <v>25</v>
      </c>
      <c r="O27" t="str">
        <f t="shared" ca="1" si="1"/>
        <v/>
      </c>
    </row>
    <row r="28" spans="1:15" x14ac:dyDescent="0.25">
      <c r="E28" s="18"/>
      <c r="H28" s="18" t="str">
        <f ca="1"/>
        <v>Viento</v>
      </c>
      <c r="M28">
        <v>26</v>
      </c>
      <c r="N28">
        <f ca="1"/>
        <v>26</v>
      </c>
      <c r="O28" t="str">
        <f t="shared" ca="1" si="1"/>
        <v/>
      </c>
    </row>
    <row r="29" spans="1:15" x14ac:dyDescent="0.25">
      <c r="E29" s="18"/>
      <c r="H29" s="18" t="str">
        <f ca="1"/>
        <v>Viento</v>
      </c>
      <c r="M29">
        <v>27</v>
      </c>
      <c r="N29">
        <f ca="1"/>
        <v>27</v>
      </c>
      <c r="O29" t="str">
        <f t="shared" ca="1" si="1"/>
        <v/>
      </c>
    </row>
    <row r="30" spans="1:15" x14ac:dyDescent="0.25">
      <c r="E30" s="18"/>
      <c r="H30" s="18" t="str">
        <f ca="1"/>
        <v>Viento</v>
      </c>
      <c r="M30">
        <v>28</v>
      </c>
      <c r="N30">
        <f ca="1"/>
        <v>28</v>
      </c>
      <c r="O30" t="str">
        <f t="shared" ca="1" si="1"/>
        <v/>
      </c>
    </row>
    <row r="31" spans="1:15" x14ac:dyDescent="0.25">
      <c r="E31" s="18"/>
      <c r="H31" s="18" t="str">
        <f ca="1"/>
        <v>Viento</v>
      </c>
      <c r="M31">
        <v>29</v>
      </c>
      <c r="N31">
        <f ca="1"/>
        <v>29</v>
      </c>
      <c r="O31" t="str">
        <f t="shared" ca="1" si="1"/>
        <v/>
      </c>
    </row>
    <row r="32" spans="1:15" x14ac:dyDescent="0.25">
      <c r="E32" s="18"/>
      <c r="H32" s="18" t="str">
        <f ca="1"/>
        <v>Viento</v>
      </c>
      <c r="M32">
        <v>30</v>
      </c>
      <c r="N32">
        <f ca="1"/>
        <v>30</v>
      </c>
      <c r="O32" t="str">
        <f t="shared" ca="1" si="1"/>
        <v/>
      </c>
    </row>
    <row r="33" spans="5:15" x14ac:dyDescent="0.25">
      <c r="E33" s="18"/>
      <c r="H33" s="18" t="str">
        <f ca="1"/>
        <v>Viento</v>
      </c>
      <c r="M33">
        <v>31</v>
      </c>
      <c r="N33">
        <f ca="1"/>
        <v>31</v>
      </c>
      <c r="O33" t="str">
        <f t="shared" ca="1" si="1"/>
        <v/>
      </c>
    </row>
    <row r="34" spans="5:15" x14ac:dyDescent="0.25">
      <c r="E34" s="18"/>
      <c r="H34" s="18" t="str">
        <f ca="1"/>
        <v>Viento</v>
      </c>
      <c r="M34">
        <v>32</v>
      </c>
      <c r="N34">
        <f ca="1"/>
        <v>32</v>
      </c>
      <c r="O34" t="str">
        <f t="shared" ca="1" si="1"/>
        <v/>
      </c>
    </row>
    <row r="35" spans="5:15" x14ac:dyDescent="0.25">
      <c r="E35" s="18"/>
      <c r="H35" s="18" t="str">
        <f ca="1"/>
        <v>Viento</v>
      </c>
      <c r="M35">
        <v>33</v>
      </c>
      <c r="N35">
        <f ca="1"/>
        <v>33</v>
      </c>
      <c r="O35" t="str">
        <f t="shared" ca="1" si="1"/>
        <v/>
      </c>
    </row>
    <row r="36" spans="5:15" x14ac:dyDescent="0.25">
      <c r="E36" s="18"/>
      <c r="H36" s="18" t="str">
        <f ca="1"/>
        <v>Viento</v>
      </c>
      <c r="M36">
        <v>34</v>
      </c>
      <c r="N36">
        <f ca="1"/>
        <v>34</v>
      </c>
      <c r="O36" t="str">
        <f t="shared" ca="1" si="1"/>
        <v/>
      </c>
    </row>
    <row r="37" spans="5:15" x14ac:dyDescent="0.25">
      <c r="E37" s="18"/>
      <c r="H37" s="18" t="str">
        <f ca="1"/>
        <v>Viento</v>
      </c>
      <c r="M37">
        <v>35</v>
      </c>
      <c r="N37">
        <f ca="1"/>
        <v>35</v>
      </c>
      <c r="O37" t="str">
        <f t="shared" ca="1" si="1"/>
        <v/>
      </c>
    </row>
    <row r="38" spans="5:15" x14ac:dyDescent="0.25">
      <c r="E38" s="18"/>
      <c r="H38" s="18" t="str">
        <f ca="1"/>
        <v>Viento</v>
      </c>
      <c r="M38">
        <v>36</v>
      </c>
      <c r="N38">
        <f ca="1"/>
        <v>36</v>
      </c>
      <c r="O38" t="str">
        <f t="shared" ca="1" si="1"/>
        <v/>
      </c>
    </row>
    <row r="39" spans="5:15" x14ac:dyDescent="0.25">
      <c r="E39" s="18"/>
      <c r="H39" s="18" t="str">
        <f ca="1"/>
        <v>Viento</v>
      </c>
      <c r="M39">
        <v>37</v>
      </c>
      <c r="N39">
        <f ca="1"/>
        <v>37</v>
      </c>
      <c r="O39" t="str">
        <f t="shared" ca="1" si="1"/>
        <v/>
      </c>
    </row>
    <row r="40" spans="5:15" x14ac:dyDescent="0.25">
      <c r="E40" s="18"/>
      <c r="H40" s="18" t="str">
        <f ca="1"/>
        <v>Viento</v>
      </c>
      <c r="M40">
        <v>38</v>
      </c>
      <c r="N40">
        <f ca="1"/>
        <v>38</v>
      </c>
      <c r="O40" t="str">
        <f t="shared" ca="1" si="1"/>
        <v/>
      </c>
    </row>
    <row r="41" spans="5:15" x14ac:dyDescent="0.25">
      <c r="E41" s="18"/>
      <c r="H41" s="18" t="str">
        <f ca="1"/>
        <v>Viento</v>
      </c>
      <c r="M41">
        <v>39</v>
      </c>
      <c r="N41">
        <f ca="1"/>
        <v>39</v>
      </c>
      <c r="O41" t="str">
        <f t="shared" ca="1" si="1"/>
        <v/>
      </c>
    </row>
    <row r="42" spans="5:15" x14ac:dyDescent="0.25">
      <c r="E42" s="18"/>
      <c r="H42" s="18" t="str">
        <f ca="1"/>
        <v>Viento</v>
      </c>
      <c r="M42">
        <v>40</v>
      </c>
      <c r="N42">
        <f ca="1"/>
        <v>40</v>
      </c>
      <c r="O42" t="str">
        <f t="shared" ca="1" si="1"/>
        <v/>
      </c>
    </row>
    <row r="43" spans="5:15" x14ac:dyDescent="0.25">
      <c r="E43" s="18"/>
      <c r="H43" s="18" t="str">
        <f ca="1"/>
        <v>Viento</v>
      </c>
      <c r="M43">
        <v>41</v>
      </c>
      <c r="N43">
        <f ca="1"/>
        <v>41</v>
      </c>
      <c r="O43" t="str">
        <f t="shared" ca="1" si="1"/>
        <v/>
      </c>
    </row>
    <row r="44" spans="5:15" x14ac:dyDescent="0.25">
      <c r="E44" s="18"/>
      <c r="H44" s="18" t="str">
        <f ca="1"/>
        <v>Viento</v>
      </c>
      <c r="M44">
        <v>42</v>
      </c>
      <c r="N44">
        <f ca="1"/>
        <v>42</v>
      </c>
      <c r="O44" t="str">
        <f t="shared" ca="1" si="1"/>
        <v/>
      </c>
    </row>
    <row r="45" spans="5:15" x14ac:dyDescent="0.25">
      <c r="E45" s="18"/>
      <c r="H45" t="str">
        <f ca="1"/>
        <v>Viento</v>
      </c>
      <c r="M45">
        <v>43</v>
      </c>
      <c r="N45">
        <f ca="1"/>
        <v>43</v>
      </c>
      <c r="O45" t="str">
        <f t="shared" ca="1" si="1"/>
        <v/>
      </c>
    </row>
    <row r="46" spans="5:15" x14ac:dyDescent="0.25">
      <c r="E46" s="18"/>
      <c r="M46">
        <v>44</v>
      </c>
      <c r="N46">
        <f ca="1"/>
        <v>44</v>
      </c>
      <c r="O46" t="str">
        <f t="shared" ca="1" si="1"/>
        <v/>
      </c>
    </row>
    <row r="47" spans="5:15" x14ac:dyDescent="0.25">
      <c r="E47" s="18"/>
      <c r="M47">
        <v>45</v>
      </c>
      <c r="N47">
        <f ca="1"/>
        <v>45</v>
      </c>
      <c r="O47" t="str">
        <f t="shared" ca="1" si="1"/>
        <v/>
      </c>
    </row>
    <row r="48" spans="5:15" x14ac:dyDescent="0.25">
      <c r="E48" s="18"/>
      <c r="M48">
        <v>46</v>
      </c>
      <c r="N48">
        <f ca="1"/>
        <v>46</v>
      </c>
      <c r="O48" t="str">
        <f t="shared" ca="1" si="1"/>
        <v/>
      </c>
    </row>
    <row r="49" spans="5:15" x14ac:dyDescent="0.25">
      <c r="E49" s="18"/>
      <c r="M49">
        <v>47</v>
      </c>
      <c r="N49">
        <f ca="1"/>
        <v>47</v>
      </c>
      <c r="O49" t="str">
        <f t="shared" ca="1" si="1"/>
        <v/>
      </c>
    </row>
    <row r="50" spans="5:15" x14ac:dyDescent="0.25">
      <c r="E50" s="18"/>
      <c r="M50">
        <v>48</v>
      </c>
      <c r="N50">
        <f ca="1"/>
        <v>48</v>
      </c>
      <c r="O50" t="str">
        <f t="shared" ca="1" si="1"/>
        <v/>
      </c>
    </row>
    <row r="51" spans="5:15" x14ac:dyDescent="0.25">
      <c r="E51" s="18"/>
      <c r="M51">
        <v>49</v>
      </c>
      <c r="N51">
        <f ca="1"/>
        <v>49</v>
      </c>
      <c r="O51" t="str">
        <f t="shared" ca="1" si="1"/>
        <v/>
      </c>
    </row>
    <row r="52" spans="5:15" x14ac:dyDescent="0.25">
      <c r="E52" s="18"/>
      <c r="M52">
        <v>50</v>
      </c>
      <c r="N52">
        <f ca="1"/>
        <v>50</v>
      </c>
      <c r="O52" t="str">
        <f t="shared" ca="1" si="1"/>
        <v/>
      </c>
    </row>
    <row r="53" spans="5:15" x14ac:dyDescent="0.25">
      <c r="E53" s="18"/>
      <c r="M53">
        <v>51</v>
      </c>
      <c r="N53">
        <f ca="1"/>
        <v>51</v>
      </c>
      <c r="O53" t="str">
        <f t="shared" ca="1" si="1"/>
        <v/>
      </c>
    </row>
    <row r="54" spans="5:15" x14ac:dyDescent="0.25">
      <c r="E54" s="18"/>
      <c r="M54">
        <v>52</v>
      </c>
      <c r="N54">
        <f ca="1"/>
        <v>52</v>
      </c>
      <c r="O54" t="str">
        <f t="shared" ca="1" si="1"/>
        <v/>
      </c>
    </row>
    <row r="55" spans="5:15" x14ac:dyDescent="0.25">
      <c r="E55" s="18"/>
      <c r="M55">
        <v>53</v>
      </c>
      <c r="N55">
        <f ca="1"/>
        <v>53</v>
      </c>
      <c r="O55" t="str">
        <f t="shared" ca="1" si="1"/>
        <v/>
      </c>
    </row>
    <row r="56" spans="5:15" x14ac:dyDescent="0.25">
      <c r="M56">
        <v>54</v>
      </c>
      <c r="N56">
        <f ca="1"/>
        <v>54</v>
      </c>
      <c r="O56" t="str">
        <f t="shared" ca="1" si="1"/>
        <v/>
      </c>
    </row>
    <row r="57" spans="5:15" x14ac:dyDescent="0.25">
      <c r="M57">
        <v>55</v>
      </c>
      <c r="N57">
        <f ca="1"/>
        <v>55</v>
      </c>
      <c r="O57" t="str">
        <f t="shared" ca="1" si="1"/>
        <v/>
      </c>
    </row>
    <row r="58" spans="5:15" x14ac:dyDescent="0.25">
      <c r="M58">
        <v>56</v>
      </c>
      <c r="N58">
        <f ca="1"/>
        <v>56</v>
      </c>
      <c r="O58" t="str">
        <f t="shared" ca="1" si="1"/>
        <v/>
      </c>
    </row>
    <row r="59" spans="5:15" x14ac:dyDescent="0.25">
      <c r="M59">
        <v>57</v>
      </c>
      <c r="N59">
        <f ca="1"/>
        <v>57</v>
      </c>
      <c r="O59" t="str">
        <f t="shared" ca="1" si="1"/>
        <v/>
      </c>
    </row>
    <row r="60" spans="5:15" x14ac:dyDescent="0.25">
      <c r="M60">
        <v>58</v>
      </c>
      <c r="N60">
        <f ca="1"/>
        <v>58</v>
      </c>
      <c r="O60" t="str">
        <f t="shared" ca="1" si="1"/>
        <v/>
      </c>
    </row>
    <row r="61" spans="5:15" x14ac:dyDescent="0.25">
      <c r="M61">
        <v>59</v>
      </c>
      <c r="N61">
        <f ca="1"/>
        <v>59</v>
      </c>
      <c r="O61" t="str">
        <f t="shared" ca="1" si="1"/>
        <v/>
      </c>
    </row>
    <row r="62" spans="5:15" x14ac:dyDescent="0.25">
      <c r="M62">
        <v>60</v>
      </c>
      <c r="N62">
        <f ca="1"/>
        <v>60</v>
      </c>
      <c r="O62" t="str">
        <f t="shared" ca="1" si="1"/>
        <v/>
      </c>
    </row>
    <row r="63" spans="5:15" x14ac:dyDescent="0.25">
      <c r="M63">
        <v>61</v>
      </c>
      <c r="N63">
        <f ca="1"/>
        <v>61</v>
      </c>
      <c r="O63" t="str">
        <f t="shared" ca="1" si="1"/>
        <v/>
      </c>
    </row>
    <row r="64" spans="5:15" x14ac:dyDescent="0.25">
      <c r="M64">
        <v>62</v>
      </c>
      <c r="N64">
        <f ca="1"/>
        <v>62</v>
      </c>
      <c r="O64" t="str">
        <f t="shared" ca="1" si="1"/>
        <v/>
      </c>
    </row>
    <row r="65" spans="13:15" x14ac:dyDescent="0.25">
      <c r="M65">
        <v>63</v>
      </c>
      <c r="N65">
        <f ca="1"/>
        <v>63</v>
      </c>
      <c r="O65" t="str">
        <f t="shared" ca="1" si="1"/>
        <v/>
      </c>
    </row>
    <row r="66" spans="13:15" x14ac:dyDescent="0.25">
      <c r="M66">
        <v>64</v>
      </c>
      <c r="N66">
        <f ca="1"/>
        <v>64</v>
      </c>
      <c r="O66" t="str">
        <f t="shared" ca="1" si="1"/>
        <v/>
      </c>
    </row>
    <row r="67" spans="13:15" x14ac:dyDescent="0.25">
      <c r="M67">
        <v>65</v>
      </c>
      <c r="N67">
        <f ca="1"/>
        <v>65</v>
      </c>
      <c r="O67" t="str">
        <f t="shared" ca="1" si="1"/>
        <v/>
      </c>
    </row>
    <row r="68" spans="13:15" x14ac:dyDescent="0.25">
      <c r="M68">
        <v>66</v>
      </c>
      <c r="N68">
        <f ca="1"/>
        <v>66</v>
      </c>
      <c r="O68" t="str">
        <f t="shared" ref="O68:O131" ca="1" si="2">+IF(M68=N68,"","E")</f>
        <v/>
      </c>
    </row>
    <row r="69" spans="13:15" x14ac:dyDescent="0.25">
      <c r="M69">
        <v>67</v>
      </c>
      <c r="N69">
        <f ca="1"/>
        <v>67</v>
      </c>
      <c r="O69" t="str">
        <f t="shared" ca="1" si="2"/>
        <v/>
      </c>
    </row>
    <row r="70" spans="13:15" x14ac:dyDescent="0.25">
      <c r="M70">
        <v>68</v>
      </c>
      <c r="N70">
        <f ca="1"/>
        <v>68</v>
      </c>
      <c r="O70" t="str">
        <f t="shared" ca="1" si="2"/>
        <v/>
      </c>
    </row>
    <row r="71" spans="13:15" x14ac:dyDescent="0.25">
      <c r="M71">
        <v>69</v>
      </c>
      <c r="N71">
        <f ca="1"/>
        <v>69</v>
      </c>
      <c r="O71" t="str">
        <f t="shared" ca="1" si="2"/>
        <v/>
      </c>
    </row>
    <row r="72" spans="13:15" x14ac:dyDescent="0.25">
      <c r="M72">
        <v>70</v>
      </c>
      <c r="N72">
        <f ca="1"/>
        <v>70</v>
      </c>
      <c r="O72" t="str">
        <f t="shared" ca="1" si="2"/>
        <v/>
      </c>
    </row>
    <row r="73" spans="13:15" x14ac:dyDescent="0.25">
      <c r="M73">
        <v>71</v>
      </c>
      <c r="N73">
        <f ca="1"/>
        <v>71</v>
      </c>
      <c r="O73" t="str">
        <f t="shared" ca="1" si="2"/>
        <v/>
      </c>
    </row>
    <row r="74" spans="13:15" x14ac:dyDescent="0.25">
      <c r="M74">
        <v>72</v>
      </c>
      <c r="N74">
        <f ca="1"/>
        <v>72</v>
      </c>
      <c r="O74" t="str">
        <f t="shared" ca="1" si="2"/>
        <v/>
      </c>
    </row>
    <row r="75" spans="13:15" x14ac:dyDescent="0.25">
      <c r="M75">
        <v>73</v>
      </c>
      <c r="N75">
        <f ca="1"/>
        <v>73</v>
      </c>
      <c r="O75" t="str">
        <f t="shared" ca="1" si="2"/>
        <v/>
      </c>
    </row>
    <row r="76" spans="13:15" x14ac:dyDescent="0.25">
      <c r="M76">
        <v>74</v>
      </c>
      <c r="N76">
        <f ca="1"/>
        <v>74</v>
      </c>
      <c r="O76" t="str">
        <f t="shared" ca="1" si="2"/>
        <v/>
      </c>
    </row>
    <row r="77" spans="13:15" x14ac:dyDescent="0.25">
      <c r="M77">
        <v>75</v>
      </c>
      <c r="N77">
        <f ca="1"/>
        <v>75</v>
      </c>
      <c r="O77" t="str">
        <f t="shared" ca="1" si="2"/>
        <v/>
      </c>
    </row>
    <row r="78" spans="13:15" x14ac:dyDescent="0.25">
      <c r="M78">
        <v>76</v>
      </c>
      <c r="N78">
        <f ca="1"/>
        <v>76</v>
      </c>
      <c r="O78" t="str">
        <f t="shared" ca="1" si="2"/>
        <v/>
      </c>
    </row>
    <row r="79" spans="13:15" x14ac:dyDescent="0.25">
      <c r="M79">
        <v>77</v>
      </c>
      <c r="N79">
        <f ca="1"/>
        <v>77</v>
      </c>
      <c r="O79" t="str">
        <f t="shared" ca="1" si="2"/>
        <v/>
      </c>
    </row>
    <row r="80" spans="13:15" x14ac:dyDescent="0.25">
      <c r="M80">
        <v>78</v>
      </c>
      <c r="N80">
        <f ca="1"/>
        <v>78</v>
      </c>
      <c r="O80" t="str">
        <f t="shared" ca="1" si="2"/>
        <v/>
      </c>
    </row>
    <row r="81" spans="13:15" x14ac:dyDescent="0.25">
      <c r="M81">
        <v>79</v>
      </c>
      <c r="N81">
        <f ca="1"/>
        <v>79</v>
      </c>
      <c r="O81" t="str">
        <f t="shared" ca="1" si="2"/>
        <v/>
      </c>
    </row>
    <row r="82" spans="13:15" x14ac:dyDescent="0.25">
      <c r="M82">
        <v>80</v>
      </c>
      <c r="N82">
        <f ca="1"/>
        <v>80</v>
      </c>
      <c r="O82" t="str">
        <f t="shared" ca="1" si="2"/>
        <v/>
      </c>
    </row>
    <row r="83" spans="13:15" x14ac:dyDescent="0.25">
      <c r="M83">
        <v>81</v>
      </c>
      <c r="N83">
        <f ca="1"/>
        <v>81</v>
      </c>
      <c r="O83" t="str">
        <f t="shared" ca="1" si="2"/>
        <v/>
      </c>
    </row>
    <row r="84" spans="13:15" x14ac:dyDescent="0.25">
      <c r="M84">
        <v>82</v>
      </c>
      <c r="N84">
        <f ca="1"/>
        <v>82</v>
      </c>
      <c r="O84" t="str">
        <f t="shared" ca="1" si="2"/>
        <v/>
      </c>
    </row>
    <row r="85" spans="13:15" x14ac:dyDescent="0.25">
      <c r="M85">
        <v>83</v>
      </c>
      <c r="N85">
        <f ca="1"/>
        <v>83</v>
      </c>
      <c r="O85" t="str">
        <f t="shared" ca="1" si="2"/>
        <v/>
      </c>
    </row>
    <row r="86" spans="13:15" x14ac:dyDescent="0.25">
      <c r="M86">
        <v>84</v>
      </c>
      <c r="N86">
        <f ca="1"/>
        <v>84</v>
      </c>
      <c r="O86" t="str">
        <f t="shared" ca="1" si="2"/>
        <v/>
      </c>
    </row>
    <row r="87" spans="13:15" x14ac:dyDescent="0.25">
      <c r="M87">
        <v>85</v>
      </c>
      <c r="N87">
        <f ca="1"/>
        <v>85</v>
      </c>
      <c r="O87" t="str">
        <f t="shared" ca="1" si="2"/>
        <v/>
      </c>
    </row>
    <row r="88" spans="13:15" x14ac:dyDescent="0.25">
      <c r="M88">
        <v>86</v>
      </c>
      <c r="N88">
        <f ca="1"/>
        <v>86</v>
      </c>
      <c r="O88" t="str">
        <f t="shared" ca="1" si="2"/>
        <v/>
      </c>
    </row>
    <row r="89" spans="13:15" x14ac:dyDescent="0.25">
      <c r="M89">
        <v>87</v>
      </c>
      <c r="N89">
        <f ca="1"/>
        <v>87</v>
      </c>
      <c r="O89" t="str">
        <f t="shared" ca="1" si="2"/>
        <v/>
      </c>
    </row>
    <row r="90" spans="13:15" x14ac:dyDescent="0.25">
      <c r="M90">
        <v>88</v>
      </c>
      <c r="N90">
        <f ca="1"/>
        <v>88</v>
      </c>
      <c r="O90" t="str">
        <f t="shared" ca="1" si="2"/>
        <v/>
      </c>
    </row>
    <row r="91" spans="13:15" x14ac:dyDescent="0.25">
      <c r="M91">
        <v>89</v>
      </c>
      <c r="N91">
        <f ca="1"/>
        <v>89</v>
      </c>
      <c r="O91" t="str">
        <f t="shared" ca="1" si="2"/>
        <v/>
      </c>
    </row>
    <row r="92" spans="13:15" x14ac:dyDescent="0.25">
      <c r="M92">
        <v>90</v>
      </c>
      <c r="N92">
        <f ca="1"/>
        <v>90</v>
      </c>
      <c r="O92" t="str">
        <f t="shared" ca="1" si="2"/>
        <v/>
      </c>
    </row>
    <row r="93" spans="13:15" x14ac:dyDescent="0.25">
      <c r="M93">
        <v>91</v>
      </c>
      <c r="N93">
        <f ca="1"/>
        <v>91</v>
      </c>
      <c r="O93" t="str">
        <f t="shared" ca="1" si="2"/>
        <v/>
      </c>
    </row>
    <row r="94" spans="13:15" x14ac:dyDescent="0.25">
      <c r="M94">
        <v>92</v>
      </c>
      <c r="N94">
        <f ca="1"/>
        <v>92</v>
      </c>
      <c r="O94" t="str">
        <f t="shared" ca="1" si="2"/>
        <v/>
      </c>
    </row>
    <row r="95" spans="13:15" x14ac:dyDescent="0.25">
      <c r="M95">
        <v>93</v>
      </c>
      <c r="N95">
        <f ca="1"/>
        <v>93</v>
      </c>
      <c r="O95" t="str">
        <f t="shared" ca="1" si="2"/>
        <v/>
      </c>
    </row>
    <row r="96" spans="13:15" x14ac:dyDescent="0.25">
      <c r="M96">
        <v>94</v>
      </c>
      <c r="N96">
        <f ca="1"/>
        <v>94</v>
      </c>
      <c r="O96" t="str">
        <f t="shared" ca="1" si="2"/>
        <v/>
      </c>
    </row>
    <row r="97" spans="13:15" x14ac:dyDescent="0.25">
      <c r="M97">
        <v>95</v>
      </c>
      <c r="N97">
        <f ca="1"/>
        <v>95</v>
      </c>
      <c r="O97" t="str">
        <f t="shared" ca="1" si="2"/>
        <v/>
      </c>
    </row>
    <row r="98" spans="13:15" x14ac:dyDescent="0.25">
      <c r="M98">
        <v>96</v>
      </c>
      <c r="N98">
        <f ca="1"/>
        <v>96</v>
      </c>
      <c r="O98" t="str">
        <f t="shared" ca="1" si="2"/>
        <v/>
      </c>
    </row>
    <row r="99" spans="13:15" x14ac:dyDescent="0.25">
      <c r="M99">
        <v>97</v>
      </c>
      <c r="N99">
        <f ca="1"/>
        <v>97</v>
      </c>
      <c r="O99" t="str">
        <f t="shared" ca="1" si="2"/>
        <v/>
      </c>
    </row>
    <row r="100" spans="13:15" x14ac:dyDescent="0.25">
      <c r="M100">
        <v>98</v>
      </c>
      <c r="N100">
        <f ca="1"/>
        <v>98</v>
      </c>
      <c r="O100" t="str">
        <f t="shared" ca="1" si="2"/>
        <v/>
      </c>
    </row>
    <row r="101" spans="13:15" x14ac:dyDescent="0.25">
      <c r="M101">
        <v>99</v>
      </c>
      <c r="N101">
        <f ca="1"/>
        <v>99</v>
      </c>
      <c r="O101" t="str">
        <f t="shared" ca="1" si="2"/>
        <v/>
      </c>
    </row>
    <row r="102" spans="13:15" x14ac:dyDescent="0.25">
      <c r="M102">
        <v>100</v>
      </c>
      <c r="N102">
        <f ca="1"/>
        <v>100</v>
      </c>
      <c r="O102" t="str">
        <f t="shared" ca="1" si="2"/>
        <v/>
      </c>
    </row>
    <row r="103" spans="13:15" x14ac:dyDescent="0.25">
      <c r="M103">
        <v>101</v>
      </c>
      <c r="N103">
        <f ca="1"/>
        <v>101</v>
      </c>
      <c r="O103" t="str">
        <f t="shared" ca="1" si="2"/>
        <v/>
      </c>
    </row>
    <row r="104" spans="13:15" x14ac:dyDescent="0.25">
      <c r="M104">
        <v>102</v>
      </c>
      <c r="N104">
        <f ca="1"/>
        <v>102</v>
      </c>
      <c r="O104" t="str">
        <f t="shared" ca="1" si="2"/>
        <v/>
      </c>
    </row>
    <row r="105" spans="13:15" x14ac:dyDescent="0.25">
      <c r="M105">
        <v>103</v>
      </c>
      <c r="N105">
        <f ca="1"/>
        <v>103</v>
      </c>
      <c r="O105" t="str">
        <f t="shared" ca="1" si="2"/>
        <v/>
      </c>
    </row>
    <row r="106" spans="13:15" x14ac:dyDescent="0.25">
      <c r="M106">
        <v>104</v>
      </c>
      <c r="N106">
        <f ca="1"/>
        <v>104</v>
      </c>
      <c r="O106" t="str">
        <f t="shared" ca="1" si="2"/>
        <v/>
      </c>
    </row>
    <row r="107" spans="13:15" x14ac:dyDescent="0.25">
      <c r="M107">
        <v>105</v>
      </c>
      <c r="N107">
        <f ca="1"/>
        <v>105</v>
      </c>
      <c r="O107" t="str">
        <f t="shared" ca="1" si="2"/>
        <v/>
      </c>
    </row>
    <row r="108" spans="13:15" x14ac:dyDescent="0.25">
      <c r="M108">
        <v>106</v>
      </c>
      <c r="N108">
        <f ca="1"/>
        <v>106</v>
      </c>
      <c r="O108" t="str">
        <f t="shared" ca="1" si="2"/>
        <v/>
      </c>
    </row>
    <row r="109" spans="13:15" x14ac:dyDescent="0.25">
      <c r="M109">
        <v>107</v>
      </c>
      <c r="N109">
        <f ca="1"/>
        <v>107</v>
      </c>
      <c r="O109" t="str">
        <f t="shared" ca="1" si="2"/>
        <v/>
      </c>
    </row>
    <row r="110" spans="13:15" x14ac:dyDescent="0.25">
      <c r="M110">
        <v>108</v>
      </c>
      <c r="N110">
        <f ca="1"/>
        <v>108</v>
      </c>
      <c r="O110" t="str">
        <f t="shared" ca="1" si="2"/>
        <v/>
      </c>
    </row>
    <row r="111" spans="13:15" x14ac:dyDescent="0.25">
      <c r="M111">
        <v>109</v>
      </c>
      <c r="N111">
        <f ca="1"/>
        <v>109</v>
      </c>
      <c r="O111" t="str">
        <f t="shared" ca="1" si="2"/>
        <v/>
      </c>
    </row>
    <row r="112" spans="13:15" x14ac:dyDescent="0.25">
      <c r="M112">
        <v>110</v>
      </c>
      <c r="N112">
        <f ca="1"/>
        <v>110</v>
      </c>
      <c r="O112" t="str">
        <f t="shared" ca="1" si="2"/>
        <v/>
      </c>
    </row>
    <row r="113" spans="13:15" x14ac:dyDescent="0.25">
      <c r="M113">
        <v>111</v>
      </c>
      <c r="N113">
        <f ca="1"/>
        <v>111</v>
      </c>
      <c r="O113" t="str">
        <f t="shared" ca="1" si="2"/>
        <v/>
      </c>
    </row>
    <row r="114" spans="13:15" x14ac:dyDescent="0.25">
      <c r="M114">
        <v>112</v>
      </c>
      <c r="N114">
        <f ca="1"/>
        <v>112</v>
      </c>
      <c r="O114" t="str">
        <f t="shared" ca="1" si="2"/>
        <v/>
      </c>
    </row>
    <row r="115" spans="13:15" x14ac:dyDescent="0.25">
      <c r="M115">
        <v>113</v>
      </c>
      <c r="N115">
        <f ca="1"/>
        <v>113</v>
      </c>
      <c r="O115" t="str">
        <f t="shared" ca="1" si="2"/>
        <v/>
      </c>
    </row>
    <row r="116" spans="13:15" x14ac:dyDescent="0.25">
      <c r="M116">
        <v>114</v>
      </c>
      <c r="N116">
        <f ca="1"/>
        <v>114</v>
      </c>
      <c r="O116" t="str">
        <f t="shared" ca="1" si="2"/>
        <v/>
      </c>
    </row>
    <row r="117" spans="13:15" x14ac:dyDescent="0.25">
      <c r="M117">
        <v>115</v>
      </c>
      <c r="N117">
        <f ca="1"/>
        <v>115</v>
      </c>
      <c r="O117" t="str">
        <f t="shared" ca="1" si="2"/>
        <v/>
      </c>
    </row>
    <row r="118" spans="13:15" x14ac:dyDescent="0.25">
      <c r="M118">
        <v>116</v>
      </c>
      <c r="N118">
        <f ca="1"/>
        <v>116</v>
      </c>
      <c r="O118" t="str">
        <f t="shared" ca="1" si="2"/>
        <v/>
      </c>
    </row>
    <row r="119" spans="13:15" x14ac:dyDescent="0.25">
      <c r="M119">
        <v>117</v>
      </c>
      <c r="N119">
        <f ca="1"/>
        <v>117</v>
      </c>
      <c r="O119" t="str">
        <f t="shared" ca="1" si="2"/>
        <v/>
      </c>
    </row>
    <row r="120" spans="13:15" x14ac:dyDescent="0.25">
      <c r="M120">
        <v>118</v>
      </c>
      <c r="N120">
        <f ca="1"/>
        <v>118</v>
      </c>
      <c r="O120" t="str">
        <f t="shared" ca="1" si="2"/>
        <v/>
      </c>
    </row>
    <row r="121" spans="13:15" x14ac:dyDescent="0.25">
      <c r="M121">
        <v>119</v>
      </c>
      <c r="N121">
        <f ca="1"/>
        <v>119</v>
      </c>
      <c r="O121" t="str">
        <f t="shared" ca="1" si="2"/>
        <v/>
      </c>
    </row>
    <row r="122" spans="13:15" x14ac:dyDescent="0.25">
      <c r="M122">
        <v>120</v>
      </c>
      <c r="N122">
        <f ca="1"/>
        <v>120</v>
      </c>
      <c r="O122" t="str">
        <f t="shared" ca="1" si="2"/>
        <v/>
      </c>
    </row>
    <row r="123" spans="13:15" x14ac:dyDescent="0.25">
      <c r="M123">
        <v>121</v>
      </c>
      <c r="N123">
        <f ca="1"/>
        <v>121</v>
      </c>
      <c r="O123" t="str">
        <f t="shared" ca="1" si="2"/>
        <v/>
      </c>
    </row>
    <row r="124" spans="13:15" x14ac:dyDescent="0.25">
      <c r="M124">
        <v>122</v>
      </c>
      <c r="N124">
        <f ca="1"/>
        <v>122</v>
      </c>
      <c r="O124" t="str">
        <f t="shared" ca="1" si="2"/>
        <v/>
      </c>
    </row>
    <row r="125" spans="13:15" x14ac:dyDescent="0.25">
      <c r="M125">
        <v>123</v>
      </c>
      <c r="N125">
        <f ca="1"/>
        <v>123</v>
      </c>
      <c r="O125" t="str">
        <f t="shared" ca="1" si="2"/>
        <v/>
      </c>
    </row>
    <row r="126" spans="13:15" x14ac:dyDescent="0.25">
      <c r="M126">
        <v>124</v>
      </c>
      <c r="N126">
        <f ca="1"/>
        <v>124</v>
      </c>
      <c r="O126" t="str">
        <f t="shared" ca="1" si="2"/>
        <v/>
      </c>
    </row>
    <row r="127" spans="13:15" x14ac:dyDescent="0.25">
      <c r="M127">
        <v>125</v>
      </c>
      <c r="N127">
        <f ca="1"/>
        <v>125</v>
      </c>
      <c r="O127" t="str">
        <f t="shared" ca="1" si="2"/>
        <v/>
      </c>
    </row>
    <row r="128" spans="13:15" x14ac:dyDescent="0.25">
      <c r="M128">
        <v>126</v>
      </c>
      <c r="N128">
        <f ca="1"/>
        <v>126</v>
      </c>
      <c r="O128" t="str">
        <f t="shared" ca="1" si="2"/>
        <v/>
      </c>
    </row>
    <row r="129" spans="13:15" x14ac:dyDescent="0.25">
      <c r="M129">
        <v>127</v>
      </c>
      <c r="N129">
        <f ca="1"/>
        <v>127</v>
      </c>
      <c r="O129" t="str">
        <f t="shared" ca="1" si="2"/>
        <v/>
      </c>
    </row>
    <row r="130" spans="13:15" x14ac:dyDescent="0.25">
      <c r="M130">
        <v>128</v>
      </c>
      <c r="N130">
        <f ca="1"/>
        <v>128</v>
      </c>
      <c r="O130" t="str">
        <f t="shared" ca="1" si="2"/>
        <v/>
      </c>
    </row>
    <row r="131" spans="13:15" x14ac:dyDescent="0.25">
      <c r="M131">
        <v>129</v>
      </c>
      <c r="N131">
        <f ca="1"/>
        <v>129</v>
      </c>
      <c r="O131" t="str">
        <f t="shared" ca="1" si="2"/>
        <v/>
      </c>
    </row>
    <row r="132" spans="13:15" x14ac:dyDescent="0.25">
      <c r="M132">
        <v>130</v>
      </c>
      <c r="N132">
        <f ca="1"/>
        <v>130</v>
      </c>
      <c r="O132" t="str">
        <f t="shared" ref="O132:O177" ca="1" si="3">+IF(M132=N132,"","E")</f>
        <v/>
      </c>
    </row>
    <row r="133" spans="13:15" x14ac:dyDescent="0.25">
      <c r="M133">
        <v>131</v>
      </c>
      <c r="N133">
        <f ca="1"/>
        <v>131</v>
      </c>
      <c r="O133" t="str">
        <f t="shared" ca="1" si="3"/>
        <v/>
      </c>
    </row>
    <row r="134" spans="13:15" x14ac:dyDescent="0.25">
      <c r="M134">
        <v>132</v>
      </c>
      <c r="N134">
        <f ca="1"/>
        <v>132</v>
      </c>
      <c r="O134" t="str">
        <f t="shared" ca="1" si="3"/>
        <v/>
      </c>
    </row>
    <row r="135" spans="13:15" x14ac:dyDescent="0.25">
      <c r="M135">
        <v>133</v>
      </c>
      <c r="N135">
        <f ca="1"/>
        <v>133</v>
      </c>
      <c r="O135" t="str">
        <f t="shared" ca="1" si="3"/>
        <v/>
      </c>
    </row>
    <row r="136" spans="13:15" x14ac:dyDescent="0.25">
      <c r="M136">
        <v>134</v>
      </c>
      <c r="N136">
        <f ca="1"/>
        <v>134</v>
      </c>
      <c r="O136" t="str">
        <f t="shared" ca="1" si="3"/>
        <v/>
      </c>
    </row>
    <row r="137" spans="13:15" x14ac:dyDescent="0.25">
      <c r="M137">
        <v>135</v>
      </c>
      <c r="N137">
        <f ca="1"/>
        <v>135</v>
      </c>
      <c r="O137" t="str">
        <f t="shared" ca="1" si="3"/>
        <v/>
      </c>
    </row>
    <row r="138" spans="13:15" x14ac:dyDescent="0.25">
      <c r="M138">
        <v>136</v>
      </c>
      <c r="N138">
        <f ca="1"/>
        <v>136</v>
      </c>
      <c r="O138" t="str">
        <f t="shared" ca="1" si="3"/>
        <v/>
      </c>
    </row>
    <row r="139" spans="13:15" x14ac:dyDescent="0.25">
      <c r="M139">
        <v>137</v>
      </c>
      <c r="N139">
        <f ca="1"/>
        <v>137</v>
      </c>
      <c r="O139" t="str">
        <f t="shared" ca="1" si="3"/>
        <v/>
      </c>
    </row>
    <row r="140" spans="13:15" x14ac:dyDescent="0.25">
      <c r="M140">
        <v>138</v>
      </c>
      <c r="N140">
        <f ca="1"/>
        <v>138</v>
      </c>
      <c r="O140" t="str">
        <f t="shared" ca="1" si="3"/>
        <v/>
      </c>
    </row>
    <row r="141" spans="13:15" x14ac:dyDescent="0.25">
      <c r="M141">
        <v>139</v>
      </c>
      <c r="N141">
        <f ca="1"/>
        <v>139</v>
      </c>
      <c r="O141" t="str">
        <f t="shared" ca="1" si="3"/>
        <v/>
      </c>
    </row>
    <row r="142" spans="13:15" x14ac:dyDescent="0.25">
      <c r="M142">
        <v>140</v>
      </c>
      <c r="N142">
        <f ca="1"/>
        <v>140</v>
      </c>
      <c r="O142" t="str">
        <f t="shared" ca="1" si="3"/>
        <v/>
      </c>
    </row>
    <row r="143" spans="13:15" x14ac:dyDescent="0.25">
      <c r="M143">
        <v>141</v>
      </c>
      <c r="N143">
        <f ca="1"/>
        <v>141</v>
      </c>
      <c r="O143" t="str">
        <f t="shared" ca="1" si="3"/>
        <v/>
      </c>
    </row>
    <row r="144" spans="13:15" x14ac:dyDescent="0.25">
      <c r="M144">
        <v>142</v>
      </c>
      <c r="N144">
        <f ca="1"/>
        <v>142</v>
      </c>
      <c r="O144" t="str">
        <f t="shared" ca="1" si="3"/>
        <v/>
      </c>
    </row>
    <row r="145" spans="13:15" x14ac:dyDescent="0.25">
      <c r="M145">
        <v>143</v>
      </c>
      <c r="N145">
        <f ca="1"/>
        <v>143</v>
      </c>
      <c r="O145" t="str">
        <f t="shared" ca="1" si="3"/>
        <v/>
      </c>
    </row>
    <row r="146" spans="13:15" x14ac:dyDescent="0.25">
      <c r="M146">
        <v>144</v>
      </c>
      <c r="N146">
        <f ca="1"/>
        <v>144</v>
      </c>
      <c r="O146" t="str">
        <f t="shared" ca="1" si="3"/>
        <v/>
      </c>
    </row>
    <row r="147" spans="13:15" x14ac:dyDescent="0.25">
      <c r="M147">
        <v>145</v>
      </c>
      <c r="N147">
        <f ca="1"/>
        <v>145</v>
      </c>
      <c r="O147" t="str">
        <f t="shared" ca="1" si="3"/>
        <v/>
      </c>
    </row>
    <row r="148" spans="13:15" x14ac:dyDescent="0.25">
      <c r="M148">
        <v>146</v>
      </c>
      <c r="N148">
        <f ca="1"/>
        <v>146</v>
      </c>
      <c r="O148" t="str">
        <f t="shared" ca="1" si="3"/>
        <v/>
      </c>
    </row>
    <row r="149" spans="13:15" x14ac:dyDescent="0.25">
      <c r="M149">
        <v>147</v>
      </c>
      <c r="N149">
        <f ca="1"/>
        <v>147</v>
      </c>
      <c r="O149" t="str">
        <f t="shared" ca="1" si="3"/>
        <v/>
      </c>
    </row>
    <row r="150" spans="13:15" x14ac:dyDescent="0.25">
      <c r="M150">
        <v>148</v>
      </c>
      <c r="N150">
        <f ca="1"/>
        <v>148</v>
      </c>
      <c r="O150" t="str">
        <f t="shared" ca="1" si="3"/>
        <v/>
      </c>
    </row>
    <row r="151" spans="13:15" x14ac:dyDescent="0.25">
      <c r="M151">
        <v>149</v>
      </c>
      <c r="N151">
        <f ca="1"/>
        <v>149</v>
      </c>
      <c r="O151" t="str">
        <f t="shared" ca="1" si="3"/>
        <v/>
      </c>
    </row>
    <row r="152" spans="13:15" x14ac:dyDescent="0.25">
      <c r="M152">
        <v>150</v>
      </c>
      <c r="N152">
        <f ca="1"/>
        <v>150</v>
      </c>
      <c r="O152" t="str">
        <f t="shared" ca="1" si="3"/>
        <v/>
      </c>
    </row>
    <row r="153" spans="13:15" x14ac:dyDescent="0.25">
      <c r="M153">
        <v>151</v>
      </c>
      <c r="N153">
        <f ca="1"/>
        <v>151</v>
      </c>
      <c r="O153" t="str">
        <f t="shared" ca="1" si="3"/>
        <v/>
      </c>
    </row>
    <row r="154" spans="13:15" x14ac:dyDescent="0.25">
      <c r="M154">
        <v>152</v>
      </c>
      <c r="N154">
        <f ca="1"/>
        <v>152</v>
      </c>
      <c r="O154" t="str">
        <f t="shared" ca="1" si="3"/>
        <v/>
      </c>
    </row>
    <row r="155" spans="13:15" x14ac:dyDescent="0.25">
      <c r="M155">
        <v>153</v>
      </c>
      <c r="N155">
        <f ca="1"/>
        <v>153</v>
      </c>
      <c r="O155" t="str">
        <f t="shared" ca="1" si="3"/>
        <v/>
      </c>
    </row>
    <row r="156" spans="13:15" x14ac:dyDescent="0.25">
      <c r="M156">
        <v>154</v>
      </c>
      <c r="N156">
        <f ca="1"/>
        <v>154</v>
      </c>
      <c r="O156" t="str">
        <f t="shared" ca="1" si="3"/>
        <v/>
      </c>
    </row>
    <row r="157" spans="13:15" x14ac:dyDescent="0.25">
      <c r="M157">
        <v>155</v>
      </c>
      <c r="N157">
        <f ca="1"/>
        <v>155</v>
      </c>
      <c r="O157" t="str">
        <f t="shared" ca="1" si="3"/>
        <v/>
      </c>
    </row>
    <row r="158" spans="13:15" x14ac:dyDescent="0.25">
      <c r="M158">
        <v>156</v>
      </c>
      <c r="N158">
        <f ca="1"/>
        <v>156</v>
      </c>
      <c r="O158" t="str">
        <f t="shared" ca="1" si="3"/>
        <v/>
      </c>
    </row>
    <row r="159" spans="13:15" x14ac:dyDescent="0.25">
      <c r="M159">
        <v>157</v>
      </c>
      <c r="N159">
        <f ca="1"/>
        <v>157</v>
      </c>
      <c r="O159" t="str">
        <f t="shared" ca="1" si="3"/>
        <v/>
      </c>
    </row>
    <row r="160" spans="13:15" x14ac:dyDescent="0.25">
      <c r="M160">
        <v>158</v>
      </c>
      <c r="N160">
        <f ca="1"/>
        <v>158</v>
      </c>
      <c r="O160" t="str">
        <f t="shared" ca="1" si="3"/>
        <v/>
      </c>
    </row>
    <row r="161" spans="13:15" x14ac:dyDescent="0.25">
      <c r="M161">
        <v>159</v>
      </c>
      <c r="N161">
        <f ca="1"/>
        <v>159</v>
      </c>
      <c r="O161" t="str">
        <f t="shared" ca="1" si="3"/>
        <v/>
      </c>
    </row>
    <row r="162" spans="13:15" x14ac:dyDescent="0.25">
      <c r="M162">
        <v>160</v>
      </c>
      <c r="N162">
        <f ca="1"/>
        <v>160</v>
      </c>
      <c r="O162" t="str">
        <f t="shared" ca="1" si="3"/>
        <v/>
      </c>
    </row>
    <row r="163" spans="13:15" x14ac:dyDescent="0.25">
      <c r="M163">
        <v>161</v>
      </c>
      <c r="N163">
        <f ca="1"/>
        <v>161</v>
      </c>
      <c r="O163" t="str">
        <f t="shared" ca="1" si="3"/>
        <v/>
      </c>
    </row>
    <row r="164" spans="13:15" x14ac:dyDescent="0.25">
      <c r="M164">
        <v>162</v>
      </c>
      <c r="N164">
        <f ca="1"/>
        <v>162</v>
      </c>
      <c r="O164" t="str">
        <f t="shared" ca="1" si="3"/>
        <v/>
      </c>
    </row>
    <row r="165" spans="13:15" x14ac:dyDescent="0.25">
      <c r="M165">
        <v>163</v>
      </c>
      <c r="N165">
        <f ca="1"/>
        <v>163</v>
      </c>
      <c r="O165" t="str">
        <f t="shared" ca="1" si="3"/>
        <v/>
      </c>
    </row>
    <row r="166" spans="13:15" x14ac:dyDescent="0.25">
      <c r="M166">
        <v>164</v>
      </c>
      <c r="N166">
        <f ca="1"/>
        <v>164</v>
      </c>
      <c r="O166" t="str">
        <f t="shared" ca="1" si="3"/>
        <v/>
      </c>
    </row>
    <row r="167" spans="13:15" x14ac:dyDescent="0.25">
      <c r="M167">
        <v>165</v>
      </c>
      <c r="N167">
        <f ca="1"/>
        <v>165</v>
      </c>
      <c r="O167" t="str">
        <f t="shared" ca="1" si="3"/>
        <v/>
      </c>
    </row>
    <row r="168" spans="13:15" x14ac:dyDescent="0.25">
      <c r="M168">
        <v>166</v>
      </c>
      <c r="N168">
        <f ca="1"/>
        <v>166</v>
      </c>
      <c r="O168" t="str">
        <f t="shared" ca="1" si="3"/>
        <v/>
      </c>
    </row>
    <row r="169" spans="13:15" x14ac:dyDescent="0.25">
      <c r="M169">
        <v>167</v>
      </c>
      <c r="N169">
        <f ca="1"/>
        <v>167</v>
      </c>
      <c r="O169" t="str">
        <f t="shared" ca="1" si="3"/>
        <v/>
      </c>
    </row>
    <row r="170" spans="13:15" x14ac:dyDescent="0.25">
      <c r="M170">
        <v>168</v>
      </c>
      <c r="N170">
        <f ca="1"/>
        <v>168</v>
      </c>
      <c r="O170" t="str">
        <f t="shared" ca="1" si="3"/>
        <v/>
      </c>
    </row>
    <row r="171" spans="13:15" x14ac:dyDescent="0.25">
      <c r="M171">
        <v>169</v>
      </c>
      <c r="N171">
        <f ca="1"/>
        <v>169</v>
      </c>
      <c r="O171" t="str">
        <f t="shared" ca="1" si="3"/>
        <v/>
      </c>
    </row>
    <row r="172" spans="13:15" x14ac:dyDescent="0.25">
      <c r="M172">
        <v>170</v>
      </c>
      <c r="N172">
        <f ca="1"/>
        <v>170</v>
      </c>
      <c r="O172" t="str">
        <f t="shared" ca="1" si="3"/>
        <v/>
      </c>
    </row>
    <row r="173" spans="13:15" x14ac:dyDescent="0.25">
      <c r="M173">
        <v>171</v>
      </c>
      <c r="N173">
        <f ca="1"/>
        <v>171</v>
      </c>
      <c r="O173" t="str">
        <f t="shared" ca="1" si="3"/>
        <v/>
      </c>
    </row>
    <row r="174" spans="13:15" x14ac:dyDescent="0.25">
      <c r="M174">
        <v>172</v>
      </c>
      <c r="N174">
        <f ca="1"/>
        <v>172</v>
      </c>
      <c r="O174" t="str">
        <f t="shared" ca="1" si="3"/>
        <v/>
      </c>
    </row>
    <row r="175" spans="13:15" x14ac:dyDescent="0.25">
      <c r="M175">
        <v>173</v>
      </c>
      <c r="N175">
        <f ca="1"/>
        <v>173</v>
      </c>
      <c r="O175" t="str">
        <f t="shared" ca="1" si="3"/>
        <v/>
      </c>
    </row>
    <row r="176" spans="13:15" x14ac:dyDescent="0.25">
      <c r="M176">
        <v>174</v>
      </c>
      <c r="N176">
        <f ca="1"/>
        <v>174</v>
      </c>
      <c r="O176" t="str">
        <f t="shared" ca="1" si="3"/>
        <v/>
      </c>
    </row>
    <row r="177" spans="13:15" x14ac:dyDescent="0.25">
      <c r="M177">
        <v>175</v>
      </c>
      <c r="N177">
        <f ca="1"/>
        <v>175</v>
      </c>
      <c r="O177" t="str">
        <f t="shared" ca="1" si="3"/>
        <v/>
      </c>
    </row>
  </sheetData>
  <autoFilter ref="A1:P1" xr:uid="{A6F5252C-7253-4738-B0AA-3AA654615B6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6E64-27D7-4586-A48E-4CBB19E0DB85}">
  <dimension ref="A1:P33"/>
  <sheetViews>
    <sheetView view="pageBreakPreview" zoomScale="130" zoomScaleNormal="100" zoomScaleSheetLayoutView="130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8.140625" bestFit="1" customWidth="1"/>
    <col min="3" max="3" width="19.7109375" bestFit="1" customWidth="1"/>
    <col min="4" max="4" width="36.42578125" bestFit="1" customWidth="1"/>
    <col min="5" max="5" width="13" bestFit="1" customWidth="1"/>
    <col min="6" max="6" width="34.28515625" bestFit="1" customWidth="1"/>
    <col min="7" max="7" width="23" bestFit="1" customWidth="1"/>
    <col min="8" max="8" width="52" bestFit="1" customWidth="1"/>
    <col min="9" max="10" width="11.28515625" bestFit="1" customWidth="1"/>
    <col min="11" max="11" width="21.28515625" bestFit="1" customWidth="1"/>
    <col min="12" max="12" width="50.5703125" bestFit="1" customWidth="1"/>
    <col min="13" max="14" width="11.7109375" bestFit="1" customWidth="1"/>
    <col min="15" max="15" width="19.7109375" bestFit="1" customWidth="1"/>
    <col min="16" max="16" width="15.85546875" style="4" bestFit="1" customWidth="1"/>
  </cols>
  <sheetData>
    <row r="1" spans="1:16" s="10" customFormat="1" ht="12.75" customHeight="1" x14ac:dyDescent="0.25">
      <c r="A1" s="19" t="s">
        <v>121</v>
      </c>
      <c r="B1" s="9" t="s">
        <v>110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tr">
        <f>+_xlfn.CONCAT('ListRelacion impactos-indicador'!$H$1, " (",'ListRelacion impactos-indicador'!$G$2,")")</f>
        <v>Umbral General (m)</v>
      </c>
      <c r="I1" s="14" t="s">
        <v>101</v>
      </c>
      <c r="J1" s="14" t="s">
        <v>102</v>
      </c>
      <c r="K1" s="14" t="s">
        <v>103</v>
      </c>
      <c r="L1" s="15" t="s">
        <v>104</v>
      </c>
      <c r="M1" s="14" t="s">
        <v>105</v>
      </c>
      <c r="N1" s="14" t="s">
        <v>106</v>
      </c>
      <c r="O1" s="15" t="s">
        <v>107</v>
      </c>
      <c r="P1" s="15" t="s">
        <v>108</v>
      </c>
    </row>
    <row r="2" spans="1:16" s="1" customFormat="1" x14ac:dyDescent="0.25">
      <c r="A2" s="17" t="str" cm="1">
        <f t="array" ref="A2:A14">_xlfn._xlws.FILTER(IF(B2:B176&lt;&gt;"","Agitación-Oleaje",""),B2:B176&lt;&gt;"")</f>
        <v>Agitación-Oleaje</v>
      </c>
      <c r="B2" s="17" cm="1">
        <f t="array" ref="B2:B14">_xlfn._xlws.FILTER('ListRelacion impactos-indicador'!A2:A182,(ISNUMBER(SEARCH("Agitación",'ListRelacion impactos-indicador'!$C$2:$C$182))+ISNUMBER(SEARCH("Exceso de Oleaje",'ListRelacion impactos-indicador'!$C$2:$C$182)))&gt;0,"")</f>
        <v>1</v>
      </c>
      <c r="C2" s="17" t="str" cm="1">
        <f t="array" ref="C2:C14">_xlfn._xlws.FILTER('ListRelacion impactos-indicador'!B2:B182,(ISNUMBER(SEARCH("Agitación",'ListRelacion impactos-indicador'!$C$2:$C$182))+ISNUMBER(SEARCH("Exceso de Oleaje",'ListRelacion impactos-indicador'!$C$2:$C$182)))&gt;0,"")</f>
        <v>ELO</v>
      </c>
      <c r="D2" s="17" t="str" cm="1">
        <f t="array" ref="D2:D14">_xlfn._xlws.FILTER('ListRelacion impactos-indicador'!C2:C182,(ISNUMBER(SEARCH("Agitación",'ListRelacion impactos-indicador'!$C$2:$C$182))+ISNUMBER(SEARCH("Exceso de Oleaje",'ListRelacion impactos-indicador'!$C$2:$C$182)))&gt;0,"")</f>
        <v>Exceso de Oleaje</v>
      </c>
      <c r="E2" s="17" t="str" cm="1">
        <f t="array" ref="E2:E14">_xlfn._xlws.FILTER('ListRelacion impactos-indicador'!D2:D182,(ISNUMBER(SEARCH("Agitación",'ListRelacion impactos-indicador'!$C$2:$C$182))+ISNUMBER(SEARCH("Exceso de Oleaje",'ListRelacion impactos-indicador'!$C$2:$C$182)))&gt;0,"")</f>
        <v>Oleaje</v>
      </c>
      <c r="F2" s="17" t="str" cm="1">
        <f t="array" ref="F2:F14">_xlfn._xlws.FILTER('ListRelacion impactos-indicador'!E2:E182,(ISNUMBER(SEARCH("Agitación",'ListRelacion impactos-indicador'!$C$2:$C$182))+ISNUMBER(SEARCH("Exceso de Oleaje",'ListRelacion impactos-indicador'!$C$2:$C$182)))&gt;0,"")</f>
        <v>Zona de fondeo y espera exterior</v>
      </c>
      <c r="G2" s="17" t="str" cm="1">
        <f t="array" ref="G2:G14">_xlfn._xlws.FILTER('ListRelacion impactos-indicador'!F2:F182,(ISNUMBER(SEARCH("Agitación",'ListRelacion impactos-indicador'!$C$2:$C$182))+ISNUMBER(SEARCH("Exceso de Oleaje",'ListRelacion impactos-indicador'!$C$2:$C$182)))&gt;0,"")</f>
        <v>Activo físico</v>
      </c>
      <c r="H2" s="17" cm="1">
        <f t="array" ref="H2:H14">_xlfn._xlws.FILTER(IF('ListRelacion impactos-indicador'!H2:H182="","",'ListRelacion impactos-indicador'!H2:H182),(ISNUMBER(SEARCH("Agitación",'ListRelacion impactos-indicador'!$C$2:$C$182))+ISNUMBER(SEARCH("Exceso de Oleaje",'ListRelacion impactos-indicador'!$C$2:$C$182)))&gt;0,"")</f>
        <v>2.5</v>
      </c>
      <c r="I2" s="17" t="str" cm="1">
        <f t="array" ref="I2:I14">_xlfn._xlws.FILTER(IF('ListRelacion impactos-indicador'!I2:I182="","",'ListRelacion impactos-indicador'!I2:I182),(ISNUMBER(SEARCH("Agitación",'ListRelacion impactos-indicador'!$C$2:$C$182))+ISNUMBER(SEARCH("Exceso de Oleaje",'ListRelacion impactos-indicador'!$C$2:$C$182)))&gt;0,"")</f>
        <v/>
      </c>
      <c r="J2" s="17" t="str" cm="1">
        <f t="array" ref="J2:J14">_xlfn._xlws.FILTER(IF('ListRelacion impactos-indicador'!J2:J182="","",'ListRelacion impactos-indicador'!J2:J182),(ISNUMBER(SEARCH("Agitación",'ListRelacion impactos-indicador'!$C$2:$C$182))+ISNUMBER(SEARCH("Exceso de Oleaje",'ListRelacion impactos-indicador'!$C$2:$C$182)))&gt;0,"")</f>
        <v/>
      </c>
      <c r="K2" s="17" t="str" cm="1">
        <f t="array" ref="K2:K14">_xlfn._xlws.FILTER(IF('ListRelacion impactos-indicador'!K2:K182="","",'ListRelacion impactos-indicador'!K2:K182),(ISNUMBER(SEARCH("Agitación",'ListRelacion impactos-indicador'!$C$2:$C$182))+ISNUMBER(SEARCH("Exceso de Oleaje",'ListRelacion impactos-indicador'!$C$2:$C$182)))&gt;0,"")</f>
        <v/>
      </c>
      <c r="L2" s="17" t="str" cm="1">
        <f t="array" ref="L2:L14">_xlfn._xlws.FILTER(IF('ListRelacion impactos-indicador'!L2:L182="","",'ListRelacion impactos-indicador'!L2:L182),(ISNUMBER(SEARCH("Agitación",'ListRelacion impactos-indicador'!$C$2:$C$182))+ISNUMBER(SEARCH("Exceso de Oleaje",'ListRelacion impactos-indicador'!$C$2:$C$182)))&gt;0,"")</f>
        <v/>
      </c>
      <c r="M2" s="17" t="str" cm="1">
        <f t="array" ref="M2:M14">_xlfn._xlws.FILTER(IF('ListRelacion impactos-indicador'!M2:M182="","",'ListRelacion impactos-indicador'!M2:M182),(ISNUMBER(SEARCH("Agitación",'ListRelacion impactos-indicador'!$C$2:$C$182))+ISNUMBER(SEARCH("Exceso de Oleaje",'ListRelacion impactos-indicador'!$C$2:$C$182)))&gt;0,"")</f>
        <v/>
      </c>
      <c r="N2" s="17" cm="1">
        <f t="array" ref="N2:N14">_xlfn._xlws.FILTER(IF('ListRelacion impactos-indicador'!N2:N182="","",'ListRelacion impactos-indicador'!N2:N182),(ISNUMBER(SEARCH("Agitación",'ListRelacion impactos-indicador'!$C$2:$C$182))+ISNUMBER(SEARCH("Exceso de Oleaje",'ListRelacion impactos-indicador'!$C$2:$C$182)))&gt;0,"")</f>
        <v>5</v>
      </c>
      <c r="O2" s="17" cm="1">
        <f t="array" ref="O2:O14">_xlfn._xlws.FILTER(IF('ListRelacion impactos-indicador'!O2:O182="","",'ListRelacion impactos-indicador'!O2:O182),(ISNUMBER(SEARCH("Agitación",'ListRelacion impactos-indicador'!$C$2:$C$182))+ISNUMBER(SEARCH("Exceso de Oleaje",'ListRelacion impactos-indicador'!$C$2:$C$182)))&gt;0,"")</f>
        <v>5</v>
      </c>
      <c r="P2" s="17" t="str" cm="1">
        <f t="array" ref="P2:P14">_xlfn._xlws.FILTER(IF('ListRelacion impactos-indicador'!P2:P182="","",'ListRelacion impactos-indicador'!P2:P182),(ISNUMBER(SEARCH("Agitación",'ListRelacion impactos-indicador'!$C$2:$C$182))+ISNUMBER(SEARCH("Exceso de Oleaje",'ListRelacion impactos-indicador'!$C$2:$C$182)))&gt;0,"")</f>
        <v/>
      </c>
    </row>
    <row r="3" spans="1:16" s="1" customFormat="1" x14ac:dyDescent="0.25">
      <c r="A3" s="17" t="str">
        <v>Agitación-Oleaje</v>
      </c>
      <c r="B3" s="17">
        <v>3</v>
      </c>
      <c r="C3" s="17" t="str">
        <v>ELO</v>
      </c>
      <c r="D3" s="17" t="str">
        <v>Exceso de Oleaje</v>
      </c>
      <c r="E3" s="17" t="str">
        <v>Oleaje</v>
      </c>
      <c r="F3" s="17" t="str">
        <v>Bocana</v>
      </c>
      <c r="G3" s="17" t="str">
        <v>Activo físico</v>
      </c>
      <c r="H3" s="17">
        <v>2</v>
      </c>
      <c r="I3" s="17" t="str">
        <v/>
      </c>
      <c r="J3" s="17" t="str">
        <v/>
      </c>
      <c r="K3" s="17" t="str">
        <v/>
      </c>
      <c r="L3" s="17" t="str">
        <v/>
      </c>
      <c r="M3" s="17" t="str">
        <v/>
      </c>
      <c r="N3" s="17" t="str">
        <v/>
      </c>
      <c r="O3" s="17" t="str">
        <v/>
      </c>
      <c r="P3" s="17" t="str">
        <v/>
      </c>
    </row>
    <row r="4" spans="1:16" s="1" customFormat="1" x14ac:dyDescent="0.25">
      <c r="A4" s="17" t="str">
        <v>Agitación-Oleaje</v>
      </c>
      <c r="B4" s="17">
        <v>7</v>
      </c>
      <c r="C4" s="17" t="str">
        <v>ELO</v>
      </c>
      <c r="D4" s="17" t="str">
        <v>Exceso de Oleaje</v>
      </c>
      <c r="E4" s="17" t="str">
        <v>Oleaje</v>
      </c>
      <c r="F4" s="17" t="str">
        <v>Canal de acceso / navegación</v>
      </c>
      <c r="G4" s="17" t="str">
        <v>Activo físico</v>
      </c>
      <c r="H4" s="17">
        <v>2.5</v>
      </c>
      <c r="I4" s="17" t="str">
        <v/>
      </c>
      <c r="J4" s="17" t="str">
        <v/>
      </c>
      <c r="K4" s="17" t="str">
        <v/>
      </c>
      <c r="L4" s="17" t="str">
        <v/>
      </c>
      <c r="M4" s="17" t="str">
        <v/>
      </c>
      <c r="N4" s="17" t="str">
        <v/>
      </c>
      <c r="O4" s="17" t="str">
        <v/>
      </c>
      <c r="P4" s="17" t="str">
        <v/>
      </c>
    </row>
    <row r="5" spans="1:16" s="1" customFormat="1" x14ac:dyDescent="0.25">
      <c r="A5" s="17" t="str">
        <v>Agitación-Oleaje</v>
      </c>
      <c r="B5" s="17">
        <v>11</v>
      </c>
      <c r="C5" s="17" t="str">
        <v>ELO</v>
      </c>
      <c r="D5" s="17" t="str">
        <v>Exceso de Oleaje</v>
      </c>
      <c r="E5" s="17" t="str">
        <v>Oleaje</v>
      </c>
      <c r="F5" s="17" t="str">
        <v>Dársenas (zona de permanencia)</v>
      </c>
      <c r="G5" s="17" t="str">
        <v>Activo físico</v>
      </c>
      <c r="H5" s="17">
        <v>2</v>
      </c>
      <c r="I5" s="17" t="str">
        <v/>
      </c>
      <c r="J5" s="17" t="str">
        <v/>
      </c>
      <c r="K5" s="17" t="str">
        <v/>
      </c>
      <c r="L5" s="17" t="str">
        <v/>
      </c>
      <c r="M5" s="17" t="str">
        <v/>
      </c>
      <c r="N5" s="17" t="str">
        <v/>
      </c>
      <c r="O5" s="17" t="str">
        <v/>
      </c>
      <c r="P5" s="17" t="str">
        <v/>
      </c>
    </row>
    <row r="6" spans="1:16" s="1" customFormat="1" x14ac:dyDescent="0.25">
      <c r="A6" s="17" t="str">
        <v>Agitación-Oleaje</v>
      </c>
      <c r="B6" s="17">
        <v>15</v>
      </c>
      <c r="C6" s="17" t="str">
        <v>ELO</v>
      </c>
      <c r="D6" s="17" t="str">
        <v>Exceso de Oleaje</v>
      </c>
      <c r="E6" s="17" t="str">
        <v>Oleaje</v>
      </c>
      <c r="F6" s="17" t="str">
        <v>Dársenas (zona de maniobra y reviro)</v>
      </c>
      <c r="G6" s="17" t="str">
        <v>Activo físico</v>
      </c>
      <c r="H6" s="17">
        <v>1</v>
      </c>
      <c r="I6" s="17" t="str">
        <v/>
      </c>
      <c r="J6" s="17" t="str">
        <v/>
      </c>
      <c r="K6" s="17" t="str">
        <v/>
      </c>
      <c r="L6" s="17" t="str">
        <v/>
      </c>
      <c r="M6" s="17" t="str">
        <v/>
      </c>
      <c r="N6" s="17" t="str">
        <v/>
      </c>
      <c r="O6" s="17" t="str">
        <v/>
      </c>
      <c r="P6" s="17" t="str">
        <v/>
      </c>
    </row>
    <row r="7" spans="1:16" s="1" customFormat="1" x14ac:dyDescent="0.25">
      <c r="A7" s="17" t="str">
        <v>Agitación-Oleaje</v>
      </c>
      <c r="B7" s="17">
        <v>20</v>
      </c>
      <c r="C7" s="17" t="str">
        <v>ELO</v>
      </c>
      <c r="D7" s="17" t="str">
        <v>Exceso de Oleaje</v>
      </c>
      <c r="E7" s="17" t="str">
        <v>Oleaje</v>
      </c>
      <c r="F7" s="17" t="str">
        <v>Servicio de prácticos</v>
      </c>
      <c r="G7" s="17" t="str">
        <v>Operacional (servicios)</v>
      </c>
      <c r="H7" s="17">
        <v>1.5</v>
      </c>
      <c r="I7" s="17" t="str">
        <v/>
      </c>
      <c r="J7" s="17" t="str">
        <v/>
      </c>
      <c r="K7" s="17" t="str">
        <v/>
      </c>
      <c r="L7" s="17" t="str">
        <v/>
      </c>
      <c r="M7" s="17" t="str">
        <v/>
      </c>
      <c r="N7" s="17" t="str">
        <v/>
      </c>
      <c r="O7" s="17" t="str">
        <v/>
      </c>
      <c r="P7" s="17" t="str">
        <v/>
      </c>
    </row>
    <row r="8" spans="1:16" s="1" customFormat="1" x14ac:dyDescent="0.25">
      <c r="A8" s="17" t="str">
        <v>Agitación-Oleaje</v>
      </c>
      <c r="B8" s="17">
        <v>23</v>
      </c>
      <c r="C8" s="17" t="str">
        <v>ELO</v>
      </c>
      <c r="D8" s="17" t="str">
        <v>Exceso de Oleaje</v>
      </c>
      <c r="E8" s="17" t="str">
        <v>Oleaje</v>
      </c>
      <c r="F8" s="17" t="str">
        <v>Servicio de remolcadores</v>
      </c>
      <c r="G8" s="5" t="str">
        <v>Operacional (servicios)</v>
      </c>
      <c r="H8" s="17">
        <v>1.5</v>
      </c>
      <c r="I8" s="17" t="str">
        <v/>
      </c>
      <c r="J8" s="17" t="str">
        <v/>
      </c>
      <c r="K8" s="17" t="str">
        <v/>
      </c>
      <c r="L8" s="17" t="str">
        <v/>
      </c>
      <c r="M8" s="17" t="str">
        <v/>
      </c>
      <c r="N8" s="17" t="str">
        <v/>
      </c>
      <c r="O8" s="17" t="str">
        <v/>
      </c>
      <c r="P8" s="17" t="str">
        <v/>
      </c>
    </row>
    <row r="9" spans="1:16" x14ac:dyDescent="0.25">
      <c r="A9" s="5" t="str">
        <v>Agitación-Oleaje</v>
      </c>
      <c r="B9" s="5">
        <v>26</v>
      </c>
      <c r="C9" s="5" t="str">
        <v>ELO</v>
      </c>
      <c r="D9" s="5" t="str">
        <v>Exceso de Oleaje</v>
      </c>
      <c r="E9" s="5" t="str">
        <v>Oleaje</v>
      </c>
      <c r="F9" s="5" t="str">
        <v>Operaciones a flote (bunkering...)</v>
      </c>
      <c r="G9" s="5" t="str">
        <v>Operacional (servicios)</v>
      </c>
      <c r="H9" s="5">
        <v>1.5</v>
      </c>
      <c r="I9" s="5" t="str">
        <v/>
      </c>
      <c r="J9" s="5" t="str">
        <v/>
      </c>
      <c r="K9" s="5" t="str">
        <v/>
      </c>
      <c r="L9" s="5" t="str">
        <v/>
      </c>
      <c r="M9" s="5" t="str">
        <v/>
      </c>
      <c r="N9" s="5" t="str">
        <v/>
      </c>
      <c r="O9" s="5" t="str">
        <v/>
      </c>
      <c r="P9" s="5" t="str">
        <v/>
      </c>
    </row>
    <row r="10" spans="1:16" x14ac:dyDescent="0.25">
      <c r="A10" s="5" t="str">
        <v>Agitación-Oleaje</v>
      </c>
      <c r="B10" s="5">
        <v>37</v>
      </c>
      <c r="C10" s="5" t="str">
        <v>ELO</v>
      </c>
      <c r="D10" s="5" t="str">
        <v>Exceso de Oleaje</v>
      </c>
      <c r="E10" s="5" t="str">
        <v>Oleaje</v>
      </c>
      <c r="F10" s="5" t="str">
        <v>Muelle</v>
      </c>
      <c r="G10" s="5" t="str">
        <v>Activo físico</v>
      </c>
      <c r="H10" s="5">
        <v>1.5</v>
      </c>
      <c r="I10" s="5">
        <v>1.5</v>
      </c>
      <c r="J10" s="5">
        <v>1.5</v>
      </c>
      <c r="K10" s="5" t="str">
        <v/>
      </c>
      <c r="L10" s="5">
        <v>0.3</v>
      </c>
      <c r="M10" s="5">
        <v>0.3</v>
      </c>
      <c r="N10" s="5">
        <v>0.4</v>
      </c>
      <c r="O10" s="5">
        <v>0.4</v>
      </c>
      <c r="P10" s="5" t="str">
        <v/>
      </c>
    </row>
    <row r="11" spans="1:16" x14ac:dyDescent="0.25">
      <c r="A11" s="5" t="str">
        <v>Agitación-Oleaje</v>
      </c>
      <c r="B11" s="5">
        <v>40</v>
      </c>
      <c r="C11" s="5" t="str">
        <v>ELO</v>
      </c>
      <c r="D11" s="5" t="str">
        <v>Exceso de Oleaje</v>
      </c>
      <c r="E11" s="5" t="str">
        <v>Oleaje</v>
      </c>
      <c r="F11" s="5" t="str">
        <v>Pantalán</v>
      </c>
      <c r="G11" s="5" t="str">
        <v>Activo físico</v>
      </c>
      <c r="H11">
        <v>1.5</v>
      </c>
      <c r="I11" s="5">
        <v>1.5</v>
      </c>
      <c r="J11" s="5">
        <v>1.5</v>
      </c>
      <c r="K11" s="5" t="str">
        <v/>
      </c>
      <c r="L11" s="5">
        <v>0.3</v>
      </c>
      <c r="M11" s="5">
        <v>0.3</v>
      </c>
      <c r="N11" s="5">
        <v>0.4</v>
      </c>
      <c r="O11" s="5">
        <v>0.4</v>
      </c>
      <c r="P11" s="5" t="str">
        <v/>
      </c>
    </row>
    <row r="12" spans="1:16" x14ac:dyDescent="0.25">
      <c r="A12" s="5" t="str">
        <v>Agitación-Oleaje</v>
      </c>
      <c r="B12" s="5">
        <v>43</v>
      </c>
      <c r="C12" s="5" t="str">
        <v>ELO</v>
      </c>
      <c r="D12" s="5" t="str">
        <v>Exceso de Oleaje</v>
      </c>
      <c r="E12" s="5" t="str">
        <v>Oleaje</v>
      </c>
      <c r="F12" s="5" t="str">
        <v>Duque de alba</v>
      </c>
      <c r="G12" s="5" t="str">
        <v>Activo físico</v>
      </c>
      <c r="H12" s="5">
        <v>1.5</v>
      </c>
      <c r="I12" s="5">
        <v>1.5</v>
      </c>
      <c r="J12" s="5">
        <v>1.5</v>
      </c>
      <c r="K12" s="5" t="str">
        <v/>
      </c>
      <c r="L12" s="5">
        <v>0.3</v>
      </c>
      <c r="M12" s="5">
        <v>0.3</v>
      </c>
      <c r="N12" s="5">
        <v>0.4</v>
      </c>
      <c r="O12" s="5">
        <v>0.4</v>
      </c>
      <c r="P12" s="5" t="str">
        <v/>
      </c>
    </row>
    <row r="13" spans="1:16" x14ac:dyDescent="0.25">
      <c r="A13" s="5" t="str">
        <v>Agitación-Oleaje</v>
      </c>
      <c r="B13" s="5">
        <v>45</v>
      </c>
      <c r="C13" s="5" t="str">
        <v>ELO</v>
      </c>
      <c r="D13" s="5" t="str">
        <v>Exceso de Oleaje</v>
      </c>
      <c r="E13" s="5" t="str">
        <v>Oleaje</v>
      </c>
      <c r="F13" s="5" t="str">
        <v>Boya / monoboya</v>
      </c>
      <c r="G13" s="5" t="str">
        <v>Activo físico</v>
      </c>
      <c r="H13" s="5">
        <v>1.5</v>
      </c>
      <c r="I13" s="5">
        <v>1.5</v>
      </c>
      <c r="J13" s="5">
        <v>1.5</v>
      </c>
      <c r="K13" s="5" t="str">
        <v/>
      </c>
      <c r="L13" s="5">
        <v>0.3</v>
      </c>
      <c r="M13" s="5">
        <v>0.3</v>
      </c>
      <c r="N13" s="5">
        <v>0.4</v>
      </c>
      <c r="O13" s="5">
        <v>0.4</v>
      </c>
      <c r="P13" s="5" t="str">
        <v/>
      </c>
    </row>
    <row r="14" spans="1:16" x14ac:dyDescent="0.25">
      <c r="A14" s="5" t="str">
        <v>Agitación-Oleaje</v>
      </c>
      <c r="B14" s="5">
        <v>48</v>
      </c>
      <c r="C14" s="5" t="str">
        <v>ELO</v>
      </c>
      <c r="D14" s="5" t="str">
        <v>Exceso de Oleaje</v>
      </c>
      <c r="E14" s="5" t="str">
        <v>Oleaje</v>
      </c>
      <c r="F14" s="5" t="str">
        <v>Rampa Ro-Ro</v>
      </c>
      <c r="G14" s="5" t="str">
        <v>Activo físico</v>
      </c>
      <c r="H14" s="5">
        <v>1.5</v>
      </c>
      <c r="I14" s="5">
        <v>1.5</v>
      </c>
      <c r="J14" s="5">
        <v>1.5</v>
      </c>
      <c r="K14" s="5" t="str">
        <v/>
      </c>
      <c r="L14" s="5">
        <v>0.3</v>
      </c>
      <c r="M14" s="5">
        <v>0.3</v>
      </c>
      <c r="N14" s="5">
        <v>0.4</v>
      </c>
      <c r="O14" s="5">
        <v>0.4</v>
      </c>
      <c r="P14" s="5" t="str">
        <v/>
      </c>
    </row>
    <row r="15" spans="1:16" x14ac:dyDescent="0.25">
      <c r="P15"/>
    </row>
    <row r="16" spans="1:16" x14ac:dyDescent="0.25">
      <c r="P16"/>
    </row>
    <row r="17" spans="6:16" x14ac:dyDescent="0.25">
      <c r="P17"/>
    </row>
    <row r="18" spans="6:16" x14ac:dyDescent="0.25">
      <c r="P18"/>
    </row>
    <row r="19" spans="6:16" x14ac:dyDescent="0.25">
      <c r="P19"/>
    </row>
    <row r="20" spans="6:16" x14ac:dyDescent="0.25">
      <c r="P20"/>
    </row>
    <row r="21" spans="6:16" x14ac:dyDescent="0.25">
      <c r="P21"/>
    </row>
    <row r="22" spans="6:16" x14ac:dyDescent="0.25">
      <c r="P22"/>
    </row>
    <row r="23" spans="6:16" x14ac:dyDescent="0.25">
      <c r="P23"/>
    </row>
    <row r="26" spans="6:16" x14ac:dyDescent="0.25">
      <c r="F26" s="2"/>
    </row>
    <row r="27" spans="6:16" x14ac:dyDescent="0.25">
      <c r="F27" s="2"/>
    </row>
    <row r="28" spans="6:16" x14ac:dyDescent="0.25">
      <c r="F28" s="2"/>
    </row>
    <row r="29" spans="6:16" x14ac:dyDescent="0.25">
      <c r="F29" s="2"/>
    </row>
    <row r="30" spans="6:16" x14ac:dyDescent="0.25">
      <c r="F30" s="2"/>
    </row>
    <row r="31" spans="6:16" x14ac:dyDescent="0.25">
      <c r="F31" s="2"/>
    </row>
    <row r="32" spans="6:16" x14ac:dyDescent="0.25">
      <c r="F32" s="2"/>
    </row>
    <row r="33" spans="6:6" x14ac:dyDescent="0.25">
      <c r="F33" s="2"/>
    </row>
  </sheetData>
  <autoFilter ref="A1:P13" xr:uid="{E1EE6E64-27D7-4586-A48E-4CBB19E0DB85}"/>
  <pageMargins left="0.7" right="0.7" top="0.75" bottom="0.75" header="0.3" footer="0.3"/>
  <pageSetup paperSize="9" scale="2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view="pageBreakPreview" zoomScale="115" zoomScaleNormal="100" zoomScaleSheetLayoutView="115" workbookViewId="0">
      <selection activeCell="H1" sqref="H1"/>
    </sheetView>
  </sheetViews>
  <sheetFormatPr baseColWidth="10" defaultColWidth="17.7109375" defaultRowHeight="15" x14ac:dyDescent="0.25"/>
  <cols>
    <col min="1" max="1" width="9.85546875" bestFit="1" customWidth="1"/>
    <col min="2" max="2" width="8.140625" bestFit="1" customWidth="1"/>
    <col min="3" max="3" width="19.7109375" bestFit="1" customWidth="1"/>
    <col min="4" max="4" width="69.85546875" bestFit="1" customWidth="1"/>
    <col min="5" max="5" width="13" bestFit="1" customWidth="1"/>
    <col min="6" max="6" width="29.28515625" bestFit="1" customWidth="1"/>
    <col min="7" max="7" width="23" bestFit="1" customWidth="1"/>
    <col min="8" max="8" width="18.85546875" bestFit="1" customWidth="1"/>
    <col min="9" max="9" width="17" bestFit="1" customWidth="1"/>
    <col min="10" max="10" width="15.85546875" bestFit="1" customWidth="1"/>
    <col min="11" max="11" width="13.5703125" bestFit="1" customWidth="1"/>
    <col min="12" max="12" width="48.28515625" bestFit="1" customWidth="1"/>
    <col min="13" max="14" width="9.42578125" bestFit="1" customWidth="1"/>
    <col min="15" max="15" width="17.42578125" bestFit="1" customWidth="1"/>
    <col min="16" max="16" width="13.5703125" bestFit="1" customWidth="1"/>
  </cols>
  <sheetData>
    <row r="1" spans="1:16" s="10" customFormat="1" ht="30" x14ac:dyDescent="0.25">
      <c r="A1" s="19" t="s">
        <v>121</v>
      </c>
      <c r="B1" s="9" t="s">
        <v>110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1" t="str">
        <f>+_xlfn.CONCAT('ListRelacion impactos-indicador'!$H$1)</f>
        <v>Umbral General</v>
      </c>
      <c r="I1" s="12" t="s">
        <v>101</v>
      </c>
      <c r="J1" s="12" t="s">
        <v>102</v>
      </c>
      <c r="K1" s="12" t="s">
        <v>103</v>
      </c>
      <c r="L1" s="11" t="s">
        <v>104</v>
      </c>
      <c r="M1" s="12" t="s">
        <v>105</v>
      </c>
      <c r="N1" s="12" t="s">
        <v>106</v>
      </c>
      <c r="O1" s="11" t="s">
        <v>107</v>
      </c>
      <c r="P1" s="11" t="s">
        <v>108</v>
      </c>
    </row>
    <row r="2" spans="1:16" x14ac:dyDescent="0.25">
      <c r="A2" s="16" t="str" cm="1">
        <f t="array" ref="A2:A4">_xlfn._xlws.FILTER(IF(B2:B176&lt;&gt;"","Asociados",""),B2:B176&lt;&gt;"")</f>
        <v>Asociados</v>
      </c>
      <c r="B2" s="5" cm="1">
        <f t="array" ref="B2:B4">_xlfn._xlws.FILTER('ListRelacion impactos-indicador'!A2:A182,'ListRelacion impactos-indicador'!$D$2:$D$182="Asociado","")</f>
        <v>50</v>
      </c>
      <c r="C2" s="5" t="str" cm="1">
        <f t="array" ref="C2:C4">_xlfn._xlws.FILTER('ListRelacion impactos-indicador'!B2:B182,'ListRelacion impactos-indicador'!$D$2:$D$182="Asociado","")</f>
        <v>ELO</v>
      </c>
      <c r="D2" s="5" t="str" cm="1">
        <f t="array" ref="D2:D4">_xlfn._xlws.FILTER('ListRelacion impactos-indicador'!C2:C182,'ListRelacion impactos-indicador'!$D$2:$D$182="Asociado","")</f>
        <v>Asociado a los EL de la obra de amarre y atraque (% de la perdida por parada)</v>
      </c>
      <c r="E2" s="5" t="str" cm="1">
        <f t="array" ref="E2:E4">_xlfn._xlws.FILTER('ListRelacion impactos-indicador'!D2:D182,'ListRelacion impactos-indicador'!$D$2:$D$182="Asociado","")</f>
        <v>Asociado</v>
      </c>
      <c r="F2" s="5" t="str" cm="1">
        <f t="array" ref="F2:F4">_xlfn._xlws.FILTER('ListRelacion impactos-indicador'!E2:E182,'ListRelacion impactos-indicador'!$D$2:$D$182="Asociado","")</f>
        <v>Servicio de amarradores</v>
      </c>
      <c r="G2" s="5" t="str" cm="1">
        <f t="array" ref="G2:G4">_xlfn._xlws.FILTER('ListRelacion impactos-indicador'!F2:F182,'ListRelacion impactos-indicador'!$D$2:$D$182="Asociado","")</f>
        <v>Operacional (servicios)</v>
      </c>
      <c r="H2" s="5" t="str" cm="1">
        <f t="array" ref="H2:H4">_xlfn._xlws.FILTER(IF('ListRelacion impactos-indicador'!H2:H182="","",'ListRelacion impactos-indicador'!H2:H182),'ListRelacion impactos-indicador'!$D$2:$D$182="Asociado","")</f>
        <v/>
      </c>
      <c r="I2" s="5" t="str" cm="1">
        <f t="array" ref="I2:I4">_xlfn._xlws.FILTER(IF('ListRelacion impactos-indicador'!I2:I182="","",'ListRelacion impactos-indicador'!I2:I182),'ListRelacion impactos-indicador'!$D$2:$D$182="Asociado","")</f>
        <v/>
      </c>
      <c r="J2" s="5" t="str" cm="1">
        <f t="array" ref="J2:J4">_xlfn._xlws.FILTER(IF('ListRelacion impactos-indicador'!J2:J182="","",'ListRelacion impactos-indicador'!J2:J182),'ListRelacion impactos-indicador'!$D$2:$D$182="Asociado","")</f>
        <v/>
      </c>
      <c r="K2" s="5" t="str" cm="1">
        <f t="array" ref="K2:K4">_xlfn._xlws.FILTER(IF('ListRelacion impactos-indicador'!K2:K182="","",'ListRelacion impactos-indicador'!K2:K182),'ListRelacion impactos-indicador'!$D$2:$D$182="Asociado","")</f>
        <v/>
      </c>
      <c r="L2" s="5" t="str" cm="1">
        <f t="array" ref="L2:L4">_xlfn._xlws.FILTER(IF('ListRelacion impactos-indicador'!L2:L182="","",'ListRelacion impactos-indicador'!L2:L182),'ListRelacion impactos-indicador'!$D$2:$D$182="Asociado","")</f>
        <v/>
      </c>
      <c r="M2" s="5" t="str" cm="1">
        <f t="array" ref="M2:M4">_xlfn._xlws.FILTER(IF('ListRelacion impactos-indicador'!M2:M182="","",'ListRelacion impactos-indicador'!M2:M182),'ListRelacion impactos-indicador'!$D$2:$D$182="Asociado","")</f>
        <v/>
      </c>
      <c r="N2" s="5" t="str" cm="1">
        <f t="array" ref="N2:N4">_xlfn._xlws.FILTER(IF('ListRelacion impactos-indicador'!N2:N182="","",'ListRelacion impactos-indicador'!N2:N182),'ListRelacion impactos-indicador'!$D$2:$D$182="Asociado","")</f>
        <v/>
      </c>
      <c r="O2" s="5" t="str" cm="1">
        <f t="array" ref="O2:O4">_xlfn._xlws.FILTER(IF('ListRelacion impactos-indicador'!O2:O182="","",'ListRelacion impactos-indicador'!O2:O182),'ListRelacion impactos-indicador'!$D$2:$D$182="Asociado","")</f>
        <v/>
      </c>
      <c r="P2" s="5" t="str" cm="1">
        <f t="array" ref="P2:P4">_xlfn._xlws.FILTER(IF('ListRelacion impactos-indicador'!P2:P182="","",'ListRelacion impactos-indicador'!P2:P182),'ListRelacion impactos-indicador'!$D$2:$D$182="Asociado","")</f>
        <v/>
      </c>
    </row>
    <row r="3" spans="1:16" x14ac:dyDescent="0.25">
      <c r="A3" s="16" t="str">
        <v>Asociados</v>
      </c>
      <c r="B3" s="5">
        <v>168</v>
      </c>
      <c r="C3" s="5" t="str">
        <v>ELU</v>
      </c>
      <c r="D3" s="5" t="str">
        <v>Asociado a los EL de la obra de amarre y atraque (% del daño)</v>
      </c>
      <c r="E3" s="5" t="str">
        <v>Asociado</v>
      </c>
      <c r="F3" s="5" t="str">
        <v>Defensas y bolardos</v>
      </c>
      <c r="G3" s="5" t="str">
        <v>Activo físico</v>
      </c>
      <c r="H3" s="16" t="str">
        <v/>
      </c>
      <c r="I3" s="16" t="str">
        <v/>
      </c>
      <c r="J3" s="16" t="str">
        <v/>
      </c>
      <c r="K3" s="16" t="str">
        <v/>
      </c>
      <c r="L3" s="16" t="str">
        <v/>
      </c>
      <c r="M3" s="16" t="str">
        <v/>
      </c>
      <c r="N3" s="16" t="str">
        <v/>
      </c>
      <c r="O3" s="16" t="str">
        <v/>
      </c>
      <c r="P3" s="16" t="str">
        <v/>
      </c>
    </row>
    <row r="4" spans="1:16" x14ac:dyDescent="0.25">
      <c r="A4" s="16" t="str">
        <v>Asociados</v>
      </c>
      <c r="B4" s="5">
        <v>169</v>
      </c>
      <c r="C4" s="5" t="str">
        <v>ELU</v>
      </c>
      <c r="D4" s="5" t="str">
        <v>Asociado a los EL de la obra de amarre y atraque (% del daño)</v>
      </c>
      <c r="E4" s="5" t="str">
        <v>Asociado</v>
      </c>
      <c r="F4" s="5" t="str">
        <v>Servicio de amarradores</v>
      </c>
      <c r="G4" s="5" t="str">
        <v>Operacional (servicios)</v>
      </c>
      <c r="H4" s="16" t="str">
        <v/>
      </c>
      <c r="I4" s="16" t="str">
        <v/>
      </c>
      <c r="J4" s="16" t="str">
        <v/>
      </c>
      <c r="K4" s="16" t="str">
        <v/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</row>
  </sheetData>
  <autoFilter ref="B1:G2" xr:uid="{00000000-0001-0000-0000-000000000000}"/>
  <pageMargins left="0.75" right="0.75" top="1" bottom="1" header="0.5" footer="0.5"/>
  <pageSetup paperSize="9" scale="2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AF4C-25B2-4CA0-AF3A-8E8D4D91ED29}">
  <dimension ref="A1:P16"/>
  <sheetViews>
    <sheetView view="pageBreakPreview" zoomScale="115" zoomScaleNormal="100" zoomScaleSheetLayoutView="115" workbookViewId="0">
      <selection activeCell="H1" sqref="H1"/>
    </sheetView>
  </sheetViews>
  <sheetFormatPr baseColWidth="10" defaultRowHeight="15" x14ac:dyDescent="0.25"/>
  <cols>
    <col min="1" max="1" width="8.140625" bestFit="1" customWidth="1"/>
    <col min="2" max="2" width="4.42578125" bestFit="1" customWidth="1"/>
    <col min="3" max="3" width="15.140625" bestFit="1" customWidth="1"/>
    <col min="4" max="4" width="31.85546875" bestFit="1" customWidth="1"/>
    <col min="5" max="5" width="12.85546875" bestFit="1" customWidth="1"/>
    <col min="6" max="6" width="34.28515625" bestFit="1" customWidth="1"/>
    <col min="7" max="7" width="18.42578125" bestFit="1" customWidth="1"/>
    <col min="8" max="8" width="18.85546875" style="3" bestFit="1" customWidth="1"/>
    <col min="9" max="10" width="9" bestFit="1" customWidth="1"/>
    <col min="12" max="12" width="48.28515625" bestFit="1" customWidth="1"/>
    <col min="13" max="14" width="9.42578125" bestFit="1" customWidth="1"/>
    <col min="15" max="15" width="17.42578125" bestFit="1" customWidth="1"/>
    <col min="16" max="16" width="13.5703125" bestFit="1" customWidth="1"/>
  </cols>
  <sheetData>
    <row r="1" spans="1:16" ht="45" x14ac:dyDescent="0.25">
      <c r="A1" s="19" t="s">
        <v>121</v>
      </c>
      <c r="B1" s="9" t="s">
        <v>110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1" t="str">
        <f>+_xlfn.CONCAT('ListRelacion impactos-indicador'!$H$1, " (",'ListRelacion impactos-indicador'!$G$39,")")</f>
        <v>Umbral General (m)</v>
      </c>
      <c r="I1" s="12" t="s">
        <v>101</v>
      </c>
      <c r="J1" s="12" t="s">
        <v>102</v>
      </c>
      <c r="K1" s="12" t="s">
        <v>103</v>
      </c>
      <c r="L1" s="11" t="s">
        <v>104</v>
      </c>
      <c r="M1" s="12" t="s">
        <v>105</v>
      </c>
      <c r="N1" s="12" t="s">
        <v>106</v>
      </c>
      <c r="O1" s="11" t="s">
        <v>107</v>
      </c>
      <c r="P1" s="11" t="s">
        <v>108</v>
      </c>
    </row>
    <row r="2" spans="1:16" x14ac:dyDescent="0.25">
      <c r="A2" s="16" t="str" cm="1">
        <f t="array" ref="A2:A16">_xlfn._xlws.FILTER(IF(B2:B176&lt;&gt;"","Calado",""),B2:B176&lt;&gt;"")</f>
        <v>Calado</v>
      </c>
      <c r="B2" s="5" cm="1">
        <f t="array" ref="B2:B16">_xlfn._xlws.FILTER('ListRelacion impactos-indicador'!A2:A182,'ListRelacion impactos-indicador'!$C$2:$C$182="Falta de Calado","")</f>
        <v>38</v>
      </c>
      <c r="C2" s="5" t="str" cm="1">
        <f t="array" ref="C2:C16">_xlfn._xlws.FILTER('ListRelacion impactos-indicador'!B2:B182,'ListRelacion impactos-indicador'!$C$2:$C$182="Falta de Calado","")</f>
        <v>ELO</v>
      </c>
      <c r="D2" s="5" t="str" cm="1">
        <f t="array" ref="D2:D16">_xlfn._xlws.FILTER('ListRelacion impactos-indicador'!C2:C182,'ListRelacion impactos-indicador'!$C$2:$C$182="Falta de Calado","")</f>
        <v>Falta de Calado</v>
      </c>
      <c r="E2" s="5" t="str" cm="1">
        <f t="array" ref="E2:E16">_xlfn._xlws.FILTER('ListRelacion impactos-indicador'!D2:D182,'ListRelacion impactos-indicador'!$C$2:$C$182="Falta de Calado","")</f>
        <v>Nivel del mar</v>
      </c>
      <c r="F2" s="5" t="str" cm="1">
        <f t="array" ref="F2:F16">_xlfn._xlws.FILTER('ListRelacion impactos-indicador'!E2:E182,'ListRelacion impactos-indicador'!$C$2:$C$182="Falta de Calado","")</f>
        <v>Muelle</v>
      </c>
      <c r="G2" s="5" t="str" cm="1">
        <f t="array" ref="G2:G16">_xlfn._xlws.FILTER('ListRelacion impactos-indicador'!F2:F182,'ListRelacion impactos-indicador'!$C$2:$C$182="Falta de Calado","")</f>
        <v>Activo físico</v>
      </c>
      <c r="H2" s="5" t="str" cm="1">
        <f t="array" ref="H2:H16">_xlfn._xlws.FILTER(IF('ListRelacion impactos-indicador'!H2:H182="","",'ListRelacion impactos-indicador'!H2:H182),'ListRelacion impactos-indicador'!$C$2:$C$182="Falta de Calado","")</f>
        <v>1.05*Dc+0.75</v>
      </c>
      <c r="I2" s="5" t="str" cm="1">
        <f t="array" ref="I2:I16">_xlfn._xlws.FILTER(IF('ListRelacion impactos-indicador'!I2:I182="","",'ListRelacion impactos-indicador'!I2:I182),'ListRelacion impactos-indicador'!$C$2:$C$182="Falta de Calado","")</f>
        <v/>
      </c>
      <c r="J2" s="5" t="str" cm="1">
        <f t="array" ref="J2:J16">_xlfn._xlws.FILTER(IF('ListRelacion impactos-indicador'!J2:J182="","",'ListRelacion impactos-indicador'!J2:J182),'ListRelacion impactos-indicador'!$C$2:$C$182="Falta de Calado","")</f>
        <v/>
      </c>
      <c r="K2" s="5" t="str" cm="1">
        <f t="array" ref="K2:K16">_xlfn._xlws.FILTER(IF('ListRelacion impactos-indicador'!K2:K182="","",'ListRelacion impactos-indicador'!K2:K182),'ListRelacion impactos-indicador'!$C$2:$C$182="Falta de Calado","")</f>
        <v/>
      </c>
      <c r="L2" s="5" t="str" cm="1">
        <f t="array" ref="L2:L16">_xlfn._xlws.FILTER(IF('ListRelacion impactos-indicador'!L2:L182="","",'ListRelacion impactos-indicador'!L2:L182),'ListRelacion impactos-indicador'!$C$2:$C$182="Falta de Calado","")</f>
        <v/>
      </c>
      <c r="M2" s="5" t="str" cm="1">
        <f t="array" ref="M2:M16">_xlfn._xlws.FILTER(IF('ListRelacion impactos-indicador'!M2:M182="","",'ListRelacion impactos-indicador'!M2:M182),'ListRelacion impactos-indicador'!$C$2:$C$182="Falta de Calado","")</f>
        <v/>
      </c>
      <c r="N2" s="5" t="str" cm="1">
        <f t="array" ref="N2:N16">_xlfn._xlws.FILTER(IF('ListRelacion impactos-indicador'!N2:N182="","",'ListRelacion impactos-indicador'!N2:N182),'ListRelacion impactos-indicador'!$C$2:$C$182="Falta de Calado","")</f>
        <v/>
      </c>
      <c r="O2" s="5" t="str" cm="1">
        <f t="array" ref="O2:O16">_xlfn._xlws.FILTER(IF('ListRelacion impactos-indicador'!O2:O182="","",'ListRelacion impactos-indicador'!O2:O182),'ListRelacion impactos-indicador'!$C$2:$C$182="Falta de Calado","")</f>
        <v/>
      </c>
      <c r="P2" s="5" t="str" cm="1">
        <f t="array" ref="P2:P16">_xlfn._xlws.FILTER(IF('ListRelacion impactos-indicador'!P2:P182="","",'ListRelacion impactos-indicador'!P2:P182),'ListRelacion impactos-indicador'!$C$2:$C$182="Falta de Calado","")</f>
        <v/>
      </c>
    </row>
    <row r="3" spans="1:16" x14ac:dyDescent="0.25">
      <c r="A3" s="16" t="str">
        <v>Calado</v>
      </c>
      <c r="B3" s="5">
        <v>41</v>
      </c>
      <c r="C3" s="5" t="str">
        <v>ELO</v>
      </c>
      <c r="D3" s="5" t="str">
        <v>Falta de Calado</v>
      </c>
      <c r="E3" s="5" t="str">
        <v>Nivel del mar</v>
      </c>
      <c r="F3" s="5" t="str">
        <v>Pantalán</v>
      </c>
      <c r="G3" s="5" t="str">
        <v>Activo físico</v>
      </c>
      <c r="H3" s="5" t="str">
        <v>1.05*Dc+0.75</v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/>
      </c>
      <c r="P3" s="5" t="str">
        <v/>
      </c>
    </row>
    <row r="4" spans="1:16" x14ac:dyDescent="0.25">
      <c r="A4" s="16" t="str">
        <v>Calado</v>
      </c>
      <c r="B4" s="5">
        <v>44</v>
      </c>
      <c r="C4" s="5" t="str">
        <v>ELO</v>
      </c>
      <c r="D4" s="5" t="str">
        <v>Falta de Calado</v>
      </c>
      <c r="E4" s="5" t="str">
        <v>Nivel del mar</v>
      </c>
      <c r="F4" s="5" t="str">
        <v>Duque de alba</v>
      </c>
      <c r="G4" s="5" t="str">
        <v>Activo físico</v>
      </c>
      <c r="H4" s="5" t="str">
        <v>1.05*Dc+0.75</v>
      </c>
      <c r="I4" s="5" t="str">
        <v/>
      </c>
      <c r="J4" s="5" t="str">
        <v/>
      </c>
      <c r="K4" s="5" t="str">
        <v/>
      </c>
      <c r="L4" s="5" t="str">
        <v/>
      </c>
      <c r="M4" s="5" t="str">
        <v/>
      </c>
      <c r="N4" s="5" t="str">
        <v/>
      </c>
      <c r="O4" s="5" t="str">
        <v/>
      </c>
      <c r="P4" s="5" t="str">
        <v/>
      </c>
    </row>
    <row r="5" spans="1:16" x14ac:dyDescent="0.25">
      <c r="A5" s="16" t="str">
        <v>Calado</v>
      </c>
      <c r="B5" s="5">
        <v>46</v>
      </c>
      <c r="C5" s="5" t="str">
        <v>ELO</v>
      </c>
      <c r="D5" s="17" t="str">
        <v>Falta de Calado</v>
      </c>
      <c r="E5" s="17" t="str">
        <v>Nivel del mar</v>
      </c>
      <c r="F5" s="17" t="str">
        <v>Boya / monoboya</v>
      </c>
      <c r="G5" s="17" t="str">
        <v>Activo físico</v>
      </c>
      <c r="H5" s="17" t="str">
        <v>1.05*Dc+0.75</v>
      </c>
      <c r="I5" s="24" t="str">
        <v/>
      </c>
      <c r="J5" s="16" t="str">
        <v/>
      </c>
      <c r="K5" s="16" t="str">
        <v/>
      </c>
      <c r="L5" s="16" t="str">
        <v/>
      </c>
      <c r="M5" s="16" t="str">
        <v/>
      </c>
      <c r="N5" s="16" t="str">
        <v/>
      </c>
      <c r="O5" s="16" t="str">
        <v/>
      </c>
      <c r="P5" s="16" t="str">
        <v/>
      </c>
    </row>
    <row r="6" spans="1:16" x14ac:dyDescent="0.25">
      <c r="A6" s="16" t="str">
        <v>Calado</v>
      </c>
      <c r="B6" s="5">
        <v>49</v>
      </c>
      <c r="C6" s="5" t="str">
        <v>ELO</v>
      </c>
      <c r="D6" s="17" t="str">
        <v>Falta de Calado</v>
      </c>
      <c r="E6" s="17" t="str">
        <v>Nivel del mar</v>
      </c>
      <c r="F6" s="17" t="str">
        <v>Rampa Ro-Ro</v>
      </c>
      <c r="G6" s="17" t="str">
        <v>Activo físico</v>
      </c>
      <c r="H6" s="17" t="str">
        <v>1.05*Dc+0.75</v>
      </c>
      <c r="I6" s="24" t="str">
        <v/>
      </c>
      <c r="J6" s="16" t="str">
        <v/>
      </c>
      <c r="K6" s="16" t="str">
        <v/>
      </c>
      <c r="L6" s="16" t="str">
        <v/>
      </c>
      <c r="M6" s="16" t="str">
        <v/>
      </c>
      <c r="N6" s="16" t="str">
        <v/>
      </c>
      <c r="O6" s="16" t="str">
        <v/>
      </c>
      <c r="P6" s="16" t="str">
        <v/>
      </c>
    </row>
    <row r="7" spans="1:16" x14ac:dyDescent="0.25">
      <c r="A7" s="22" t="str">
        <v>Calado</v>
      </c>
      <c r="B7" s="23">
        <v>94</v>
      </c>
      <c r="C7" s="23" t="str">
        <v>ELS</v>
      </c>
      <c r="D7" s="17" t="str">
        <v>Falta de Calado</v>
      </c>
      <c r="E7" s="17" t="str">
        <v>Nivel del mar</v>
      </c>
      <c r="F7" s="17" t="str">
        <v>Zona de fondeo y espera exterior</v>
      </c>
      <c r="G7" s="17" t="str">
        <v>Activo físico</v>
      </c>
      <c r="H7" s="17" t="str">
        <v>1.1*Dc+0.75</v>
      </c>
      <c r="I7" s="24" t="str">
        <v/>
      </c>
      <c r="J7" s="16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</row>
    <row r="8" spans="1:16" x14ac:dyDescent="0.25">
      <c r="A8" s="16" t="str">
        <v>Calado</v>
      </c>
      <c r="B8" s="5">
        <v>95</v>
      </c>
      <c r="C8" s="5" t="str">
        <v>ELS</v>
      </c>
      <c r="D8" s="17" t="str">
        <v>Falta de Calado</v>
      </c>
      <c r="E8" s="17" t="str">
        <v>Nivel del mar</v>
      </c>
      <c r="F8" s="17" t="str">
        <v>Bocana</v>
      </c>
      <c r="G8" s="17" t="str">
        <v>Activo físico</v>
      </c>
      <c r="H8" s="17" t="str">
        <v>1.1*Dc+0.75</v>
      </c>
      <c r="I8" s="24" t="str">
        <v/>
      </c>
      <c r="J8" s="16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</row>
    <row r="9" spans="1:16" x14ac:dyDescent="0.25">
      <c r="A9" s="16" t="str">
        <v>Calado</v>
      </c>
      <c r="B9" s="5">
        <v>96</v>
      </c>
      <c r="C9" s="5" t="str">
        <v>ELS</v>
      </c>
      <c r="D9" s="17" t="str">
        <v>Falta de Calado</v>
      </c>
      <c r="E9" s="17" t="str">
        <v>Nivel del mar</v>
      </c>
      <c r="F9" s="17" t="str">
        <v>Canal de acceso/ navegación</v>
      </c>
      <c r="G9" s="17" t="str">
        <v>Activo físico</v>
      </c>
      <c r="H9" s="17" t="str">
        <v>1.1*Dc+0.75</v>
      </c>
      <c r="I9" s="24" t="str">
        <v/>
      </c>
      <c r="J9" s="16" t="str">
        <v/>
      </c>
      <c r="K9" s="16" t="str">
        <v/>
      </c>
      <c r="L9" s="16" t="str">
        <v/>
      </c>
      <c r="M9" s="16" t="str">
        <v/>
      </c>
      <c r="N9" s="16" t="str">
        <v/>
      </c>
      <c r="O9" s="16" t="str">
        <v/>
      </c>
      <c r="P9" s="16" t="str">
        <v/>
      </c>
    </row>
    <row r="10" spans="1:16" x14ac:dyDescent="0.25">
      <c r="A10" s="16" t="str">
        <v>Calado</v>
      </c>
      <c r="B10" s="5">
        <v>97</v>
      </c>
      <c r="C10" s="5" t="str">
        <v>ELS</v>
      </c>
      <c r="D10" s="17" t="str">
        <v>Falta de Calado</v>
      </c>
      <c r="E10" s="17" t="str">
        <v>Nivel del mar</v>
      </c>
      <c r="F10" s="17" t="str">
        <v>Dársenas (zona de permanencia)</v>
      </c>
      <c r="G10" s="17" t="str">
        <v>Activo físico</v>
      </c>
      <c r="H10" s="17" t="str">
        <v>1.05*Dc+0.75</v>
      </c>
      <c r="I10" s="24" t="str">
        <v/>
      </c>
      <c r="J10" s="16" t="str">
        <v/>
      </c>
      <c r="K10" s="16" t="str">
        <v/>
      </c>
      <c r="L10" s="16" t="str">
        <v/>
      </c>
      <c r="M10" s="16" t="str">
        <v/>
      </c>
      <c r="N10" s="16" t="str">
        <v/>
      </c>
      <c r="O10" s="16" t="str">
        <v/>
      </c>
      <c r="P10" s="16" t="str">
        <v/>
      </c>
    </row>
    <row r="11" spans="1:16" x14ac:dyDescent="0.25">
      <c r="A11" s="22" t="str">
        <v>Calado</v>
      </c>
      <c r="B11" s="23">
        <v>98</v>
      </c>
      <c r="C11" s="23" t="str">
        <v>ELS</v>
      </c>
      <c r="D11" s="17" t="str">
        <v>Falta de Calado</v>
      </c>
      <c r="E11" s="17" t="str">
        <v>Nivel del mar</v>
      </c>
      <c r="F11" s="17" t="str">
        <v>Dársenas (zona de maniobra y reviro)</v>
      </c>
      <c r="G11" s="17" t="str">
        <v>Activo físico</v>
      </c>
      <c r="H11" s="17" t="str">
        <v>1.1*Dc+0.75</v>
      </c>
      <c r="I11" s="24" t="str">
        <v/>
      </c>
      <c r="J11" s="16" t="str">
        <v/>
      </c>
      <c r="K11" s="16" t="str">
        <v/>
      </c>
      <c r="L11" s="16" t="str">
        <v/>
      </c>
      <c r="M11" s="16" t="str">
        <v/>
      </c>
      <c r="N11" s="16" t="str">
        <v/>
      </c>
      <c r="O11" s="16" t="str">
        <v/>
      </c>
      <c r="P11" s="16" t="str">
        <v/>
      </c>
    </row>
    <row r="12" spans="1:16" x14ac:dyDescent="0.25">
      <c r="A12" s="16" t="str">
        <v>Calado</v>
      </c>
      <c r="B12" s="5">
        <v>152</v>
      </c>
      <c r="C12" s="5" t="str">
        <v>ELU</v>
      </c>
      <c r="D12" s="17" t="str">
        <v>Falta de Calado</v>
      </c>
      <c r="E12" s="17" t="str">
        <v>Nivel del mar</v>
      </c>
      <c r="F12" s="17" t="str">
        <v>Zona de fondeo y espera exterior</v>
      </c>
      <c r="G12" s="17" t="str">
        <v>Activo físico</v>
      </c>
      <c r="H12" s="17" t="str">
        <v>1.1*Dc+0.75</v>
      </c>
      <c r="I12" s="24" t="str">
        <v/>
      </c>
      <c r="J12" s="16" t="str">
        <v/>
      </c>
      <c r="K12" s="16" t="str">
        <v/>
      </c>
      <c r="L12" s="16" t="str">
        <v/>
      </c>
      <c r="M12" s="16" t="str">
        <v/>
      </c>
      <c r="N12" s="16" t="str">
        <v/>
      </c>
      <c r="O12" s="16" t="str">
        <v/>
      </c>
      <c r="P12" s="16" t="str">
        <v/>
      </c>
    </row>
    <row r="13" spans="1:16" x14ac:dyDescent="0.25">
      <c r="A13" s="16" t="str">
        <v>Calado</v>
      </c>
      <c r="B13" s="5">
        <v>153</v>
      </c>
      <c r="C13" s="5" t="str">
        <v>ELU</v>
      </c>
      <c r="D13" s="17" t="str">
        <v>Falta de Calado</v>
      </c>
      <c r="E13" s="17" t="str">
        <v>Nivel del mar</v>
      </c>
      <c r="F13" s="17" t="str">
        <v>Bocana</v>
      </c>
      <c r="G13" s="17" t="str">
        <v>Activo físico</v>
      </c>
      <c r="H13" s="17" t="str">
        <v>1.1*Dc+0.75</v>
      </c>
      <c r="I13" s="24" t="str">
        <v/>
      </c>
      <c r="J13" s="16" t="str">
        <v/>
      </c>
      <c r="K13" s="16" t="str">
        <v/>
      </c>
      <c r="L13" s="16" t="str">
        <v/>
      </c>
      <c r="M13" s="16" t="str">
        <v/>
      </c>
      <c r="N13" s="16" t="str">
        <v/>
      </c>
      <c r="O13" s="16" t="str">
        <v/>
      </c>
      <c r="P13" s="16" t="str">
        <v/>
      </c>
    </row>
    <row r="14" spans="1:16" x14ac:dyDescent="0.25">
      <c r="A14" s="16" t="str">
        <v>Calado</v>
      </c>
      <c r="B14" s="5">
        <v>154</v>
      </c>
      <c r="C14" s="5" t="str">
        <v>ELU</v>
      </c>
      <c r="D14" s="17" t="str">
        <v>Falta de Calado</v>
      </c>
      <c r="E14" s="17" t="str">
        <v>Nivel del mar</v>
      </c>
      <c r="F14" s="17" t="str">
        <v>Canal de acceso/ navegación</v>
      </c>
      <c r="G14" s="17" t="str">
        <v>Activo físico</v>
      </c>
      <c r="H14" s="17" t="str">
        <v>1.1*Dc+0.75</v>
      </c>
      <c r="I14" s="24" t="str">
        <v/>
      </c>
      <c r="J14" s="16" t="str">
        <v/>
      </c>
      <c r="K14" s="16" t="str">
        <v/>
      </c>
      <c r="L14" s="16" t="str">
        <v/>
      </c>
      <c r="M14" s="16" t="str">
        <v/>
      </c>
      <c r="N14" s="16" t="str">
        <v/>
      </c>
      <c r="O14" s="16" t="str">
        <v/>
      </c>
      <c r="P14" s="16" t="str">
        <v/>
      </c>
    </row>
    <row r="15" spans="1:16" x14ac:dyDescent="0.25">
      <c r="A15" t="str">
        <v>Calado</v>
      </c>
      <c r="B15">
        <v>155</v>
      </c>
      <c r="C15" t="str">
        <v>ELU</v>
      </c>
      <c r="D15" t="str">
        <v>Falta de Calado</v>
      </c>
      <c r="E15" t="str">
        <v>Nivel del mar</v>
      </c>
      <c r="F15" t="str">
        <v>Dársenas (zona de permanencia)</v>
      </c>
      <c r="G15" t="str">
        <v>Activo físico</v>
      </c>
      <c r="H15" s="3" t="str">
        <v>1.05*Dc+0.75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 spans="1:16" x14ac:dyDescent="0.25">
      <c r="A16" t="str">
        <v>Calado</v>
      </c>
      <c r="B16">
        <v>156</v>
      </c>
      <c r="C16" t="str">
        <v>ELU</v>
      </c>
      <c r="D16" t="str">
        <v>Falta de Calado</v>
      </c>
      <c r="E16" t="str">
        <v>Nivel del mar</v>
      </c>
      <c r="F16" t="str">
        <v>Dársenas (zona de maniobra y reviro)</v>
      </c>
      <c r="G16" t="str">
        <v>Activo físico</v>
      </c>
      <c r="H16" s="3" t="str">
        <v>1.1*Dc+0.75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</sheetData>
  <phoneticPr fontId="2" type="noConversion"/>
  <pageMargins left="0.7" right="0.7" top="0.75" bottom="0.75" header="0.3" footer="0.3"/>
  <pageSetup paperSize="9" scale="3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DE86-244A-4A79-9E08-098F3543D7B3}">
  <dimension ref="A1:P25"/>
  <sheetViews>
    <sheetView view="pageBreakPreview" topLeftCell="B1" zoomScale="115" zoomScaleNormal="100" zoomScaleSheetLayoutView="115" workbookViewId="0">
      <selection activeCell="H2" sqref="H2"/>
    </sheetView>
  </sheetViews>
  <sheetFormatPr baseColWidth="10" defaultColWidth="31.42578125" defaultRowHeight="15" x14ac:dyDescent="0.25"/>
  <sheetData>
    <row r="1" spans="1:16" s="13" customFormat="1" x14ac:dyDescent="0.25">
      <c r="A1" s="19" t="s">
        <v>121</v>
      </c>
      <c r="B1" s="11" t="s">
        <v>110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tr">
        <f>+_xlfn.CONCAT('ListRelacion impactos-indicador'!$H$1)</f>
        <v>Umbral General</v>
      </c>
      <c r="I1" s="12" t="s">
        <v>101</v>
      </c>
      <c r="J1" s="12" t="s">
        <v>102</v>
      </c>
      <c r="K1" s="12" t="s">
        <v>103</v>
      </c>
      <c r="L1" s="11" t="s">
        <v>104</v>
      </c>
      <c r="M1" s="12" t="s">
        <v>105</v>
      </c>
      <c r="N1" s="12" t="s">
        <v>106</v>
      </c>
      <c r="O1" s="11" t="s">
        <v>107</v>
      </c>
      <c r="P1" s="11" t="s">
        <v>108</v>
      </c>
    </row>
    <row r="2" spans="1:16" s="8" customFormat="1" x14ac:dyDescent="0.25">
      <c r="A2" s="20" t="str" cm="1">
        <f t="array" ref="A2:A19">_xlfn._xlws.FILTER(IF(B2:B176&lt;&gt;"","Compuestos",""),B2:B176&lt;&gt;"")</f>
        <v>Compuestos</v>
      </c>
      <c r="B2" s="7" cm="1">
        <f t="array" ref="B2:B19">_xlfn._xlws.FILTER('ListRelacion impactos-indicador'!A2:A182,(ISNUMBER(SEARCH("Oleaje",'ListRelacion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>29</v>
      </c>
      <c r="C2" s="7" t="str" cm="1">
        <f t="array" ref="C2:C19">_xlfn._xlws.FILTER('ListRelacion impactos-indicador'!B2:B182,(ISNUMBER(SEARCH("Oleaje",'ListRelacion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>ELO</v>
      </c>
      <c r="D2" s="7" t="str" cm="1">
        <f t="array" ref="D2:D19">_xlfn._xlws.FILTER('ListRelacion impactos-indicador'!C2:C182,(ISNUMBER(SEARCH("Oleaje",'ListRelacion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>Carga hidráulica sobre las piezas de obras de abrigo (desplazamiento de las piezas del tronco, morro)</v>
      </c>
      <c r="E2" s="7" t="str" cm="1">
        <f t="array" ref="E2:E19">_xlfn._xlws.FILTER('ListRelacion impactos-indicador'!D2:D182,(ISNUMBER(SEARCH("Oleaje",'ListRelacion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>Oleaje, Nivel del mar</v>
      </c>
      <c r="F2" s="7" t="str" cm="1">
        <f t="array" ref="F2:F19">_xlfn._xlws.FILTER('ListRelacion impactos-indicador'!E2:E182,(ISNUMBER(SEARCH("Oleaje",'ListRelacion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>Dique en talud (con espaldón o sin espaldón)</v>
      </c>
      <c r="G2" s="7" t="str" cm="1">
        <f t="array" ref="G2:G19">_xlfn._xlws.FILTER('ListRelacion impactos-indicador'!F2:F182,(ISNUMBER(SEARCH("Oleaje",'ListRelacion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>Activo físico</v>
      </c>
      <c r="H2" s="7" t="str" cm="1">
        <f t="array" ref="H2:H19">_xlfn._xlws.FILTER(IF('ListRelacion impactos-indicador'!H2:H182="","",'ListRelacion impactos-indicador'!H2:H182),(ISNUMBER(SEARCH("Oleaje",'ListRelacion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/>
      </c>
      <c r="I2" s="7" t="str" cm="1">
        <f t="array" ref="I2:I19">_xlfn._xlws.FILTER(IF('ListRelacion impactos-indicador'!I2:I182="","",'ListRelacion impactos-indicador'!I2:I182),(ISNUMBER(SEARCH("Oleaje",'ListRelacion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/>
      </c>
      <c r="J2" s="7" t="str" cm="1">
        <f t="array" ref="J2:J19">_xlfn._xlws.FILTER(IF('ListRelacion impactos-indicador'!J2:J182="","",'ListRelacion impactos-indicador'!J2:J182),(ISNUMBER(SEARCH("Oleaje",'ListRelacion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/>
      </c>
      <c r="K2" s="7" t="str" cm="1">
        <f t="array" ref="K2:K19">_xlfn._xlws.FILTER(IF('ListRelacion impactos-indicador'!K2:K182="","",'ListRelacion impactos-indicador'!K2:K182),(ISNUMBER(SEARCH("Oleaje",'ListRelacion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/>
      </c>
      <c r="L2" s="7" t="str" cm="1">
        <f t="array" ref="L2:L19">_xlfn._xlws.FILTER(IF('ListRelacion impactos-indicador'!L2:L182="","",'ListRelacion impactos-indicador'!L2:L182),(ISNUMBER(SEARCH("Oleaje",'ListRelacion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/>
      </c>
      <c r="M2" s="7" t="str" cm="1">
        <f t="array" ref="M2:M19">_xlfn._xlws.FILTER(IF('ListRelacion impactos-indicador'!M2:M182="","",'ListRelacion impactos-indicador'!M2:M182),(ISNUMBER(SEARCH("Oleaje",'ListRelacion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/>
      </c>
      <c r="N2" s="7" t="str" cm="1">
        <f t="array" ref="N2:N19">_xlfn._xlws.FILTER(IF('ListRelacion impactos-indicador'!N2:N182="","",'ListRelacion impactos-indicador'!N2:N182),(ISNUMBER(SEARCH("Oleaje",'ListRelacion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/>
      </c>
      <c r="O2" s="7" t="str" cm="1">
        <f t="array" ref="O2:O19">_xlfn._xlws.FILTER(IF('ListRelacion impactos-indicador'!O2:O182="","",'ListRelacion impactos-indicador'!O2:O182),(ISNUMBER(SEARCH("Oleaje",'ListRelacion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/>
      </c>
      <c r="P2" s="7" t="str" cm="1">
        <f t="array" ref="P2:P19">_xlfn._xlws.FILTER(IF('ListRelacion impactos-indicador'!P2:P182="","",'ListRelacion impactos-indicador'!P2:P182),(ISNUMBER(SEARCH("Oleaje",'ListRelacion impactos-indicador'!$D$2:$D$182))*ISNUMBER(SEARCH("Nivel del mar",'ListRelacion impactos-indicador'!$D$2:$D$182)))+(ISNUMBER(SEARCH("Oleaje",'ListRelacion impactos-indicador'!$D$2:$D$182))*ISNUMBER(SEARCH("Corriente",'ListRelacion impactos-indicador'!$D$2:$D$182))*ISNUMBER(SEARCH("Velocidad del viento",'ListRelacion impactos-indicador'!$D$2:$D$182)))&gt;0,"")</f>
        <v/>
      </c>
    </row>
    <row r="3" spans="1:16" s="8" customFormat="1" x14ac:dyDescent="0.25">
      <c r="A3" s="20" t="str">
        <v>Compuestos</v>
      </c>
      <c r="B3" s="7">
        <v>30</v>
      </c>
      <c r="C3" s="7" t="str">
        <v>ELO</v>
      </c>
      <c r="D3" s="7" t="str">
        <v>Carga hidráulica sobre las piezas de obras de abrigo (erosión berma de pie)</v>
      </c>
      <c r="E3" s="6" t="str">
        <v>Oleaje, Nivel del mar</v>
      </c>
      <c r="F3" s="7" t="str">
        <v>Dique en talud (con espaldón o sin espaldón)</v>
      </c>
      <c r="G3" s="7" t="str">
        <v>Activo físico</v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</row>
    <row r="4" spans="1:16" s="8" customFormat="1" x14ac:dyDescent="0.25">
      <c r="A4" s="20" t="str">
        <v>Compuestos</v>
      </c>
      <c r="B4" s="7">
        <v>31</v>
      </c>
      <c r="C4" s="7" t="str">
        <v>ELO</v>
      </c>
      <c r="D4" s="7" t="str">
        <v>Carga hidráulica sobre las piezas de obras de abrigo (desplazamiento o vuelco del espaldón)</v>
      </c>
      <c r="E4" s="6" t="str">
        <v>Oleaje, Nivel del mar</v>
      </c>
      <c r="F4" s="7" t="str">
        <v>Dique en talud (con espaldón o sin espaldón)</v>
      </c>
      <c r="G4" s="7" t="str">
        <v>Activo físico</v>
      </c>
      <c r="H4" s="7" t="str">
        <v/>
      </c>
      <c r="I4" s="7" t="str">
        <v/>
      </c>
      <c r="J4" s="7" t="str">
        <v/>
      </c>
      <c r="K4" s="7" t="str">
        <v/>
      </c>
      <c r="L4" s="7" t="str">
        <v/>
      </c>
      <c r="M4" s="7" t="str">
        <v/>
      </c>
      <c r="N4" s="7" t="str">
        <v/>
      </c>
      <c r="O4" s="7" t="str">
        <v/>
      </c>
      <c r="P4" s="7" t="str">
        <v/>
      </c>
    </row>
    <row r="5" spans="1:16" s="8" customFormat="1" x14ac:dyDescent="0.25">
      <c r="A5" s="20" t="str">
        <v>Compuestos</v>
      </c>
      <c r="B5" s="7">
        <v>33</v>
      </c>
      <c r="C5" s="7" t="str">
        <v>ELO</v>
      </c>
      <c r="D5" s="7" t="str">
        <v>Carga hidráulica sobre las piezas de obras de abrigo (desplazamiento de las piezas del tronco, morro o berma)</v>
      </c>
      <c r="E5" s="6" t="str">
        <v>Oleaje, Nivel del mar</v>
      </c>
      <c r="F5" s="7" t="str">
        <v>Dique vertical</v>
      </c>
      <c r="G5" s="7" t="str">
        <v>Activo físico</v>
      </c>
      <c r="H5" s="7" t="str">
        <v/>
      </c>
      <c r="I5" s="7" t="str">
        <v/>
      </c>
      <c r="J5" s="7" t="str">
        <v/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</row>
    <row r="6" spans="1:16" x14ac:dyDescent="0.25">
      <c r="A6" s="20" t="str">
        <v>Compuestos</v>
      </c>
      <c r="B6" s="5">
        <v>34</v>
      </c>
      <c r="C6" s="5" t="str">
        <v>ELO</v>
      </c>
      <c r="D6" s="5" t="str">
        <v>Carga hidráulica sobre las piezas de obras de abrigo (erosión de la banqueta)</v>
      </c>
      <c r="E6" s="5" t="str">
        <v>Oleaje, Nivel del mar</v>
      </c>
      <c r="F6" s="5" t="str">
        <v>Dique vertical</v>
      </c>
      <c r="G6" s="5" t="str">
        <v>Activo físico</v>
      </c>
      <c r="H6" s="5" t="str">
        <v/>
      </c>
      <c r="I6" s="5" t="str">
        <v/>
      </c>
      <c r="J6" s="5" t="str">
        <v/>
      </c>
      <c r="K6" s="5" t="str">
        <v/>
      </c>
      <c r="L6" s="5" t="str">
        <v/>
      </c>
      <c r="M6" s="5" t="str">
        <v/>
      </c>
      <c r="N6" s="5" t="str">
        <v/>
      </c>
      <c r="O6" s="5" t="str">
        <v/>
      </c>
      <c r="P6" s="5" t="str">
        <v/>
      </c>
    </row>
    <row r="7" spans="1:16" x14ac:dyDescent="0.25">
      <c r="A7" s="20" t="str">
        <v>Compuestos</v>
      </c>
      <c r="B7" s="5">
        <v>35</v>
      </c>
      <c r="C7" s="5" t="str">
        <v>ELO</v>
      </c>
      <c r="D7" s="5" t="str">
        <v>Carga hidráulica sobre las piezas de obras de abrigo (desplazamiento o vuelco del espaldón)</v>
      </c>
      <c r="E7" s="5" t="str">
        <v>Oleaje, Nivel del mar</v>
      </c>
      <c r="F7" s="5" t="str">
        <v>Dique vertical</v>
      </c>
      <c r="G7" s="5" t="str">
        <v>Activo físico</v>
      </c>
      <c r="H7" s="5" t="str">
        <v/>
      </c>
      <c r="I7" s="5" t="str">
        <v/>
      </c>
      <c r="J7" s="5" t="str">
        <v/>
      </c>
      <c r="K7" s="5" t="str">
        <v/>
      </c>
      <c r="L7" s="5" t="str">
        <v/>
      </c>
      <c r="M7" s="5" t="str">
        <v/>
      </c>
      <c r="N7" s="5" t="str">
        <v/>
      </c>
      <c r="O7" s="5" t="str">
        <v/>
      </c>
      <c r="P7" s="5" t="str">
        <v/>
      </c>
    </row>
    <row r="8" spans="1:16" x14ac:dyDescent="0.25">
      <c r="A8" s="20" t="str">
        <v>Compuestos</v>
      </c>
      <c r="B8" s="5">
        <v>99</v>
      </c>
      <c r="C8" s="5" t="str">
        <v>ELS</v>
      </c>
      <c r="D8" s="5" t="str">
        <v>Deterioro de la señalización/balizamiento</v>
      </c>
      <c r="E8" s="5" t="str">
        <v>Oleaje, Corriente, Nivel medio del mar, Velocidad del viento</v>
      </c>
      <c r="F8" s="5" t="str">
        <v>Señalización y balizado</v>
      </c>
      <c r="G8" s="5" t="str">
        <v>Activo físico</v>
      </c>
      <c r="H8" s="5" t="str">
        <v/>
      </c>
      <c r="I8" s="5" t="str">
        <v/>
      </c>
      <c r="J8" s="5" t="str">
        <v/>
      </c>
      <c r="K8" s="5" t="str">
        <v/>
      </c>
      <c r="L8" s="5" t="str">
        <v/>
      </c>
      <c r="M8" s="5" t="str">
        <v/>
      </c>
      <c r="N8" s="5" t="str">
        <v/>
      </c>
      <c r="O8" s="5" t="str">
        <v/>
      </c>
      <c r="P8" s="5" t="str">
        <v/>
      </c>
    </row>
    <row r="9" spans="1:16" x14ac:dyDescent="0.25">
      <c r="A9" s="20" t="str">
        <v>Compuestos</v>
      </c>
      <c r="B9" s="5">
        <v>157</v>
      </c>
      <c r="C9" s="5" t="str">
        <v>ELU</v>
      </c>
      <c r="D9" s="5" t="str">
        <v>Fallo de la señalización/balizamiento</v>
      </c>
      <c r="E9" s="5" t="str">
        <v>Oleaje, Corriente, Nivel medio del mar, Velocidad del viento</v>
      </c>
      <c r="F9" s="5" t="str">
        <v>Señalización y balizado</v>
      </c>
      <c r="G9" s="5" t="str">
        <v>Activo físico</v>
      </c>
      <c r="H9" s="5" t="str">
        <v/>
      </c>
      <c r="I9" s="5" t="str">
        <v/>
      </c>
      <c r="J9" s="5" t="str">
        <v/>
      </c>
      <c r="K9" s="5" t="str">
        <v/>
      </c>
      <c r="L9" s="5" t="str">
        <v/>
      </c>
      <c r="M9" s="5" t="str">
        <v/>
      </c>
      <c r="N9" s="5" t="str">
        <v/>
      </c>
      <c r="O9" s="5" t="str">
        <v/>
      </c>
      <c r="P9" s="5" t="str">
        <v/>
      </c>
    </row>
    <row r="10" spans="1:16" x14ac:dyDescent="0.25">
      <c r="A10" s="20" t="str">
        <v>Compuestos</v>
      </c>
      <c r="B10" s="5">
        <v>158</v>
      </c>
      <c r="C10" s="5" t="str">
        <v>ELU</v>
      </c>
      <c r="D10" s="5" t="str">
        <v>Carga hidráulica sobre las piezas de obras de abrigo (desplazamiento de las piezas del tronco, morro)</v>
      </c>
      <c r="E10" s="5" t="str">
        <v>Oleaje, Nivel del mar</v>
      </c>
      <c r="F10" s="5" t="str">
        <v>Dique en talud (con espaldón o sin espaldón)</v>
      </c>
      <c r="G10" s="5" t="str">
        <v>Activo físico</v>
      </c>
      <c r="H10" s="5" t="str">
        <v/>
      </c>
      <c r="I10" s="5" t="str">
        <v/>
      </c>
      <c r="J10" s="5" t="str">
        <v/>
      </c>
      <c r="K10" s="5" t="str">
        <v/>
      </c>
      <c r="L10" s="5" t="str">
        <v/>
      </c>
      <c r="M10" s="5" t="str">
        <v/>
      </c>
      <c r="N10" s="5" t="str">
        <v/>
      </c>
      <c r="O10" s="5" t="str">
        <v/>
      </c>
      <c r="P10" s="5" t="str">
        <v/>
      </c>
    </row>
    <row r="11" spans="1:16" x14ac:dyDescent="0.25">
      <c r="A11" s="20" t="str">
        <v>Compuestos</v>
      </c>
      <c r="B11" s="5">
        <v>159</v>
      </c>
      <c r="C11" s="5" t="str">
        <v>ELU</v>
      </c>
      <c r="D11" s="5" t="str">
        <v>Carga hidráulica sobre las piezas de obras de abrigo (erosión berma de pie)</v>
      </c>
      <c r="E11" s="5" t="str">
        <v>Oleaje, Nivel del mar</v>
      </c>
      <c r="F11" s="5" t="str">
        <v>Dique en talud (con espaldón o sin espaldón)</v>
      </c>
      <c r="G11" s="5" t="str">
        <v>Activo físico</v>
      </c>
      <c r="H11" s="5" t="str">
        <v/>
      </c>
      <c r="I11" s="5" t="str">
        <v/>
      </c>
      <c r="J11" s="5" t="str">
        <v/>
      </c>
      <c r="K11" s="5" t="str">
        <v/>
      </c>
      <c r="L11" s="5" t="str">
        <v/>
      </c>
      <c r="M11" s="5" t="str">
        <v/>
      </c>
      <c r="N11" s="5" t="str">
        <v/>
      </c>
      <c r="O11" s="5" t="str">
        <v/>
      </c>
      <c r="P11" s="5" t="str">
        <v/>
      </c>
    </row>
    <row r="12" spans="1:16" x14ac:dyDescent="0.25">
      <c r="A12" s="20" t="str">
        <v>Compuestos</v>
      </c>
      <c r="B12" s="5">
        <v>160</v>
      </c>
      <c r="C12" s="5" t="str">
        <v>ELU</v>
      </c>
      <c r="D12" s="5" t="str">
        <v>Carga hidráulica sobre las piezas de obras de abrigo (desplazamiento o vuelco del espaldón)</v>
      </c>
      <c r="E12" s="5" t="str">
        <v>Oleaje, Nivel del mar</v>
      </c>
      <c r="F12" s="5" t="str">
        <v>Dique en talud (con espaldón o sin espaldón)</v>
      </c>
      <c r="G12" s="5" t="str">
        <v>Activo físico</v>
      </c>
      <c r="H12" s="5" t="str">
        <v/>
      </c>
      <c r="I12" s="5" t="str">
        <v/>
      </c>
      <c r="J12" s="5" t="str">
        <v/>
      </c>
      <c r="K12" s="5" t="str">
        <v/>
      </c>
      <c r="L12" s="5" t="str">
        <v/>
      </c>
      <c r="M12" s="5" t="str">
        <v/>
      </c>
      <c r="N12" s="5" t="str">
        <v/>
      </c>
      <c r="O12" s="5" t="str">
        <v/>
      </c>
      <c r="P12" s="5" t="str">
        <v/>
      </c>
    </row>
    <row r="13" spans="1:16" x14ac:dyDescent="0.25">
      <c r="A13" s="20" t="str">
        <v>Compuestos</v>
      </c>
      <c r="B13" s="5">
        <v>161</v>
      </c>
      <c r="C13" s="5" t="str">
        <v>ELU</v>
      </c>
      <c r="D13" s="5" t="str">
        <v>Carga hidráulica sobre las piezas de obras de abrigo (desplazamiento de las piezas del tronco, morro o berma)</v>
      </c>
      <c r="E13" s="5" t="str">
        <v>Oleaje, Nivel del mar</v>
      </c>
      <c r="F13" s="5" t="str">
        <v>Dique vertical</v>
      </c>
      <c r="G13" s="5" t="str">
        <v>Activo físico</v>
      </c>
      <c r="H13" s="5" t="str">
        <v/>
      </c>
      <c r="I13" s="5" t="str">
        <v/>
      </c>
      <c r="J13" s="5" t="str">
        <v/>
      </c>
      <c r="K13" s="5" t="str">
        <v/>
      </c>
      <c r="L13" s="5" t="str">
        <v/>
      </c>
      <c r="M13" s="5" t="str">
        <v/>
      </c>
      <c r="N13" s="5" t="str">
        <v/>
      </c>
      <c r="O13" s="5" t="str">
        <v/>
      </c>
      <c r="P13" s="5" t="str">
        <v/>
      </c>
    </row>
    <row r="14" spans="1:16" x14ac:dyDescent="0.25">
      <c r="A14" s="20" t="str">
        <v>Compuestos</v>
      </c>
      <c r="B14" s="5">
        <v>162</v>
      </c>
      <c r="C14" s="5" t="str">
        <v>ELU</v>
      </c>
      <c r="D14" s="5" t="str">
        <v>Carga hidráulica sobre las piezas de obras de abrigo (erosión de la banqueta)</v>
      </c>
      <c r="E14" s="5" t="str">
        <v>Oleaje, Nivel del mar</v>
      </c>
      <c r="F14" s="5" t="str">
        <v>Dique vertical</v>
      </c>
      <c r="G14" s="5" t="str">
        <v>Activo físico</v>
      </c>
      <c r="H14" s="5" t="str">
        <v/>
      </c>
      <c r="I14" s="5" t="str">
        <v/>
      </c>
      <c r="J14" s="5" t="str">
        <v/>
      </c>
      <c r="K14" s="5" t="str">
        <v/>
      </c>
      <c r="L14" s="5" t="str">
        <v/>
      </c>
      <c r="M14" s="5" t="str">
        <v/>
      </c>
      <c r="N14" s="5" t="str">
        <v/>
      </c>
      <c r="O14" s="5" t="str">
        <v/>
      </c>
      <c r="P14" s="5" t="str">
        <v/>
      </c>
    </row>
    <row r="15" spans="1:16" x14ac:dyDescent="0.25">
      <c r="A15" s="20" t="str">
        <v>Compuestos</v>
      </c>
      <c r="B15" s="5">
        <v>163</v>
      </c>
      <c r="C15" s="5" t="str">
        <v>ELU</v>
      </c>
      <c r="D15" s="5" t="str">
        <v>Carga hidráulica sobre las piezas de obras de abrigo (desplazamiento o vuelco del espaldón)</v>
      </c>
      <c r="E15" s="5" t="str">
        <v>Oleaje, Nivel del mar</v>
      </c>
      <c r="F15" s="5" t="str">
        <v>Dique vertical</v>
      </c>
      <c r="G15" s="5" t="str">
        <v>Activo físico</v>
      </c>
      <c r="H15" s="5" t="str">
        <v/>
      </c>
      <c r="I15" s="5" t="str">
        <v/>
      </c>
      <c r="J15" s="5" t="str">
        <v/>
      </c>
      <c r="K15" s="5" t="str">
        <v/>
      </c>
      <c r="L15" s="5" t="str">
        <v/>
      </c>
      <c r="M15" s="5" t="str">
        <v/>
      </c>
      <c r="N15" s="5" t="str">
        <v/>
      </c>
      <c r="O15" s="5" t="str">
        <v/>
      </c>
      <c r="P15" s="5" t="str">
        <v/>
      </c>
    </row>
    <row r="16" spans="1:16" x14ac:dyDescent="0.25">
      <c r="A16" s="20" t="str">
        <v>Compuestos</v>
      </c>
      <c r="B16" s="5">
        <v>164</v>
      </c>
      <c r="C16" s="5" t="str">
        <v>ELU</v>
      </c>
      <c r="D16" s="5" t="str">
        <v>Carga hidráulica sobre las obras de amarre</v>
      </c>
      <c r="E16" s="5" t="str">
        <v>Oleaje, Nivel del mar</v>
      </c>
      <c r="F16" s="5" t="str">
        <v>Muelle</v>
      </c>
      <c r="G16" s="5" t="str">
        <v>Activo físico</v>
      </c>
      <c r="H16" s="5" t="str">
        <v/>
      </c>
      <c r="I16" s="5" t="str">
        <v/>
      </c>
      <c r="J16" s="5" t="str">
        <v/>
      </c>
      <c r="K16" s="5" t="str">
        <v/>
      </c>
      <c r="L16" s="5" t="str">
        <v/>
      </c>
      <c r="M16" s="5" t="str">
        <v/>
      </c>
      <c r="N16" s="5" t="str">
        <v/>
      </c>
      <c r="O16" s="5" t="str">
        <v/>
      </c>
      <c r="P16" s="5" t="str">
        <v/>
      </c>
    </row>
    <row r="17" spans="1:16" x14ac:dyDescent="0.25">
      <c r="A17" s="20" t="str">
        <v>Compuestos</v>
      </c>
      <c r="B17" s="5">
        <v>165</v>
      </c>
      <c r="C17" s="5" t="str">
        <v>ELU</v>
      </c>
      <c r="D17" s="5" t="str">
        <v>Carga hidráulica sobre las obras de amarre</v>
      </c>
      <c r="E17" s="5" t="str">
        <v>Oleaje, Nivel del mar</v>
      </c>
      <c r="F17" s="5" t="str">
        <v>Pantalán</v>
      </c>
      <c r="G17" s="5" t="str">
        <v>Activo físico</v>
      </c>
      <c r="H17" s="5" t="str">
        <v/>
      </c>
      <c r="I17" s="5" t="str">
        <v/>
      </c>
      <c r="J17" s="5" t="str">
        <v/>
      </c>
      <c r="K17" s="5" t="str">
        <v/>
      </c>
      <c r="L17" s="5" t="str">
        <v/>
      </c>
      <c r="M17" s="5" t="str">
        <v/>
      </c>
      <c r="N17" s="5" t="str">
        <v/>
      </c>
      <c r="O17" s="5" t="str">
        <v/>
      </c>
      <c r="P17" s="5" t="str">
        <v/>
      </c>
    </row>
    <row r="18" spans="1:16" x14ac:dyDescent="0.25">
      <c r="A18" s="20" t="str">
        <v>Compuestos</v>
      </c>
      <c r="B18" s="5">
        <v>166</v>
      </c>
      <c r="C18" s="5" t="str">
        <v>ELU</v>
      </c>
      <c r="D18" s="5" t="str">
        <v>Carga hidráulica sobre las obras de amarre</v>
      </c>
      <c r="E18" s="5" t="str">
        <v>Oleaje, Nivel del mar</v>
      </c>
      <c r="F18" s="5" t="str">
        <v>Duque de alba</v>
      </c>
      <c r="G18" s="5" t="str">
        <v>Activo físico</v>
      </c>
      <c r="H18" s="5" t="str">
        <v/>
      </c>
      <c r="I18" s="5" t="str">
        <v/>
      </c>
      <c r="J18" s="5" t="str">
        <v/>
      </c>
      <c r="K18" s="5" t="str">
        <v/>
      </c>
      <c r="L18" s="5" t="str">
        <v/>
      </c>
      <c r="M18" s="5" t="str">
        <v/>
      </c>
      <c r="N18" s="5" t="str">
        <v/>
      </c>
      <c r="O18" s="5" t="str">
        <v/>
      </c>
      <c r="P18" s="5" t="str">
        <v/>
      </c>
    </row>
    <row r="19" spans="1:16" x14ac:dyDescent="0.25">
      <c r="A19" s="20" t="str">
        <v>Compuestos</v>
      </c>
      <c r="B19" s="5">
        <v>167</v>
      </c>
      <c r="C19" s="5" t="str">
        <v>ELU</v>
      </c>
      <c r="D19" s="5" t="str">
        <v>Carga hidráulica sobre las obras de amarre</v>
      </c>
      <c r="E19" s="5" t="str">
        <v>Oleaje, Nivel del mar</v>
      </c>
      <c r="F19" s="5" t="str">
        <v>Boya / monoboya</v>
      </c>
      <c r="G19" s="5" t="str">
        <v>Activo físico</v>
      </c>
      <c r="H19" s="5" t="str">
        <v/>
      </c>
      <c r="I19" s="5" t="str">
        <v/>
      </c>
      <c r="J19" s="5" t="str">
        <v/>
      </c>
      <c r="K19" s="5" t="str">
        <v/>
      </c>
      <c r="L19" s="5" t="str">
        <v/>
      </c>
      <c r="M19" s="5" t="str">
        <v/>
      </c>
      <c r="N19" s="5" t="str">
        <v/>
      </c>
      <c r="O19" s="5" t="str">
        <v/>
      </c>
      <c r="P19" s="5" t="str">
        <v/>
      </c>
    </row>
    <row r="20" spans="1:16" x14ac:dyDescent="0.25">
      <c r="A20" s="8"/>
    </row>
    <row r="21" spans="1:16" x14ac:dyDescent="0.25">
      <c r="A21" s="8"/>
    </row>
    <row r="22" spans="1:16" x14ac:dyDescent="0.25">
      <c r="A22" s="8"/>
    </row>
    <row r="23" spans="1:16" x14ac:dyDescent="0.25">
      <c r="A23" s="8"/>
    </row>
    <row r="24" spans="1:16" x14ac:dyDescent="0.25">
      <c r="A24" s="8"/>
    </row>
    <row r="25" spans="1:16" x14ac:dyDescent="0.25">
      <c r="A25" s="8" t="str">
        <f t="shared" ref="A25" si="0">IF(B25&lt;&gt;"","Compuestos","")</f>
        <v/>
      </c>
    </row>
  </sheetData>
  <pageMargins left="0.7" right="0.7" top="0.75" bottom="0.75" header="0.3" footer="0.3"/>
  <pageSetup paperSize="9" scale="27" orientation="portrait" r:id="rId1"/>
  <colBreaks count="1" manualBreakCount="1">
    <brk id="6" max="1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5400-DCDE-4E3D-A8F7-1F80A08EF55D}">
  <dimension ref="A1:P5"/>
  <sheetViews>
    <sheetView view="pageBreakPreview" zoomScale="130" zoomScaleNormal="100" zoomScaleSheetLayoutView="130" workbookViewId="0">
      <selection activeCell="H2" sqref="H2"/>
    </sheetView>
  </sheetViews>
  <sheetFormatPr baseColWidth="10" defaultRowHeight="15" x14ac:dyDescent="0.25"/>
  <cols>
    <col min="1" max="1" width="9.42578125" style="3" bestFit="1" customWidth="1"/>
    <col min="2" max="2" width="3.5703125" style="3" bestFit="1" customWidth="1"/>
    <col min="3" max="3" width="15.140625" style="3" bestFit="1" customWidth="1"/>
    <col min="4" max="4" width="31.85546875" style="3" bestFit="1" customWidth="1"/>
    <col min="5" max="5" width="9.42578125" style="3" bestFit="1" customWidth="1"/>
    <col min="6" max="6" width="34.28515625" style="3" bestFit="1" customWidth="1"/>
    <col min="7" max="7" width="18.42578125" style="3" bestFit="1" customWidth="1"/>
    <col min="8" max="8" width="20.5703125" style="3" bestFit="1" customWidth="1"/>
    <col min="9" max="9" width="17" style="3" bestFit="1" customWidth="1"/>
    <col min="10" max="10" width="15.85546875" style="3" bestFit="1" customWidth="1"/>
    <col min="11" max="11" width="19" style="3" bestFit="1" customWidth="1"/>
    <col min="12" max="12" width="48.28515625" style="3" bestFit="1" customWidth="1"/>
    <col min="13" max="14" width="9.42578125" style="3" bestFit="1" customWidth="1"/>
    <col min="15" max="15" width="17.42578125" style="3" bestFit="1" customWidth="1"/>
    <col min="16" max="16" width="13.5703125" style="3" bestFit="1" customWidth="1"/>
    <col min="17" max="16384" width="11.42578125" style="3"/>
  </cols>
  <sheetData>
    <row r="1" spans="1:16" s="26" customFormat="1" x14ac:dyDescent="0.25">
      <c r="A1" s="11" t="s">
        <v>121</v>
      </c>
      <c r="B1" s="9" t="s">
        <v>110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tr">
        <f>+_xlfn.CONCAT('ListRelacion impactos-indicador'!$H$1, " (",'ListRelacion impactos-indicador'!$G$6,")")</f>
        <v>Umbral General (m/s)</v>
      </c>
      <c r="I1" s="12" t="s">
        <v>101</v>
      </c>
      <c r="J1" s="12" t="s">
        <v>102</v>
      </c>
      <c r="K1" s="12" t="s">
        <v>103</v>
      </c>
      <c r="L1" s="11" t="s">
        <v>104</v>
      </c>
      <c r="M1" s="12" t="s">
        <v>105</v>
      </c>
      <c r="N1" s="12" t="s">
        <v>106</v>
      </c>
      <c r="O1" s="11" t="s">
        <v>107</v>
      </c>
      <c r="P1" s="11" t="s">
        <v>108</v>
      </c>
    </row>
    <row r="2" spans="1:16" x14ac:dyDescent="0.25">
      <c r="A2" s="5" t="str" cm="1">
        <f t="array" ref="A2:A5">_xlfn._xlws.FILTER(IF(B2:B176&lt;&gt;"","Corriente",""),B2:B176&lt;&gt;"")</f>
        <v>Corriente</v>
      </c>
      <c r="B2" s="5" cm="1">
        <f t="array" ref="B2:B5">_xlfn._xlws.FILTER('ListRelacion impactos-indicador'!A2:A182,'ListRelacion impactos-indicador'!$D$2:$D$182="Corriente","")</f>
        <v>5</v>
      </c>
      <c r="C2" s="5" t="str" cm="1">
        <f t="array" ref="C2:C5">_xlfn._xlws.FILTER('ListRelacion impactos-indicador'!B2:B182,'ListRelacion impactos-indicador'!$D$2:$D$182="Corriente","")</f>
        <v>ELO</v>
      </c>
      <c r="D2" s="5" t="str" cm="1">
        <f t="array" ref="D2:D5">_xlfn._xlws.FILTER('ListRelacion impactos-indicador'!C2:C182,'ListRelacion impactos-indicador'!$D$2:$D$182="Corriente","")</f>
        <v>Exceso de Corriente</v>
      </c>
      <c r="E2" s="5" t="str" cm="1">
        <f t="array" ref="E2:E5">_xlfn._xlws.FILTER('ListRelacion impactos-indicador'!D2:D182,'ListRelacion impactos-indicador'!$D$2:$D$182="Corriente","")</f>
        <v>Corriente</v>
      </c>
      <c r="F2" s="5" t="str" cm="1">
        <f t="array" ref="F2:F5">_xlfn._xlws.FILTER('ListRelacion impactos-indicador'!E2:E182,'ListRelacion impactos-indicador'!$D$2:$D$182="Corriente","")</f>
        <v>Bocana</v>
      </c>
      <c r="G2" s="5" t="str" cm="1">
        <f t="array" ref="G2:G5">_xlfn._xlws.FILTER('ListRelacion impactos-indicador'!F2:F182,'ListRelacion impactos-indicador'!$D$2:$D$182="Corriente","")</f>
        <v>Activo físico</v>
      </c>
      <c r="H2" s="5" cm="1">
        <f t="array" ref="H2:H5">_xlfn._xlws.FILTER(IF('ListRelacion impactos-indicador'!H2:H182="","",'ListRelacion impactos-indicador'!H2:H182),'ListRelacion impactos-indicador'!$D$2:$D$182="Corriente","")</f>
        <v>0.5</v>
      </c>
      <c r="I2" s="5" t="str" cm="1">
        <f t="array" ref="I2:I5">_xlfn._xlws.FILTER(IF('ListRelacion impactos-indicador'!I2:I182="","",'ListRelacion impactos-indicador'!I2:I182),'ListRelacion impactos-indicador'!$D$2:$D$182="Corriente","")</f>
        <v/>
      </c>
      <c r="J2" s="5" t="str" cm="1">
        <f t="array" ref="J2:J5">_xlfn._xlws.FILTER(IF('ListRelacion impactos-indicador'!J2:J182="","",'ListRelacion impactos-indicador'!J2:J182),'ListRelacion impactos-indicador'!$D$2:$D$182="Corriente","")</f>
        <v/>
      </c>
      <c r="K2" s="5" t="str" cm="1">
        <f t="array" ref="K2:K5">_xlfn._xlws.FILTER(IF('ListRelacion impactos-indicador'!K2:K182="","",'ListRelacion impactos-indicador'!K2:K182),'ListRelacion impactos-indicador'!$D$2:$D$182="Corriente","")</f>
        <v/>
      </c>
      <c r="L2" s="5" t="str" cm="1">
        <f t="array" ref="L2:L5">_xlfn._xlws.FILTER(IF('ListRelacion impactos-indicador'!L2:L182="","",'ListRelacion impactos-indicador'!L2:L182),'ListRelacion impactos-indicador'!$D$2:$D$182="Corriente","")</f>
        <v/>
      </c>
      <c r="M2" s="5" t="str" cm="1">
        <f t="array" ref="M2:M5">_xlfn._xlws.FILTER(IF('ListRelacion impactos-indicador'!M2:M182="","",'ListRelacion impactos-indicador'!M2:M182),'ListRelacion impactos-indicador'!$D$2:$D$182="Corriente","")</f>
        <v/>
      </c>
      <c r="N2" s="5" cm="1">
        <f t="array" ref="N2:N5">_xlfn._xlws.FILTER(IF('ListRelacion impactos-indicador'!N2:N182="","",'ListRelacion impactos-indicador'!N2:N182),'ListRelacion impactos-indicador'!$D$2:$D$182="Corriente","")</f>
        <v>2</v>
      </c>
      <c r="O2" s="5" cm="1">
        <f t="array" ref="O2:O5">_xlfn._xlws.FILTER(IF('ListRelacion impactos-indicador'!O2:O182="","",'ListRelacion impactos-indicador'!O2:O182),'ListRelacion impactos-indicador'!$D$2:$D$182="Corriente","")</f>
        <v>2</v>
      </c>
      <c r="P2" s="5" t="str" cm="1">
        <f t="array" ref="P2:P5">_xlfn._xlws.FILTER(IF('ListRelacion impactos-indicador'!P2:P182="","",'ListRelacion impactos-indicador'!P2:P182),'ListRelacion impactos-indicador'!$D$2:$D$182="Corriente","")</f>
        <v/>
      </c>
    </row>
    <row r="3" spans="1:16" x14ac:dyDescent="0.25">
      <c r="A3" s="5" t="str">
        <v>Corriente</v>
      </c>
      <c r="B3" s="5">
        <v>9</v>
      </c>
      <c r="C3" s="5" t="str">
        <v>ELO</v>
      </c>
      <c r="D3" s="5" t="str">
        <v>Exceso de Corriente</v>
      </c>
      <c r="E3" s="5" t="str">
        <v>Corriente</v>
      </c>
      <c r="F3" s="5" t="str">
        <v>Canal de acceso / navegación</v>
      </c>
      <c r="G3" s="5" t="str">
        <v>Activo físico</v>
      </c>
      <c r="H3" s="5">
        <v>2</v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/>
      </c>
      <c r="P3" s="5" t="str">
        <v/>
      </c>
    </row>
    <row r="4" spans="1:16" x14ac:dyDescent="0.25">
      <c r="A4" s="5" t="str">
        <v>Corriente</v>
      </c>
      <c r="B4" s="5">
        <v>13</v>
      </c>
      <c r="C4" s="5" t="str">
        <v>ELO</v>
      </c>
      <c r="D4" s="5" t="str">
        <v>Exceso de Corriente</v>
      </c>
      <c r="E4" s="5" t="str">
        <v>Corriente</v>
      </c>
      <c r="F4" s="5" t="str">
        <v>Dársenas (zona de permanencia)</v>
      </c>
      <c r="G4" s="5" t="str">
        <v>Activo físico</v>
      </c>
      <c r="H4" s="5">
        <v>0.5</v>
      </c>
      <c r="I4" s="5" t="str">
        <v/>
      </c>
      <c r="J4" s="5" t="str">
        <v/>
      </c>
      <c r="K4" s="5" t="str">
        <v/>
      </c>
      <c r="L4" s="5" t="str">
        <v/>
      </c>
      <c r="M4" s="5" t="str">
        <v/>
      </c>
      <c r="N4" s="5" t="str">
        <v/>
      </c>
      <c r="O4" s="5" t="str">
        <v/>
      </c>
      <c r="P4" s="5" t="str">
        <v/>
      </c>
    </row>
    <row r="5" spans="1:16" x14ac:dyDescent="0.25">
      <c r="A5" s="5" t="str">
        <v>Corriente</v>
      </c>
      <c r="B5" s="5">
        <v>17</v>
      </c>
      <c r="C5" s="5" t="str">
        <v>ELO</v>
      </c>
      <c r="D5" s="5" t="str">
        <v>Exceso de Corriente</v>
      </c>
      <c r="E5" s="5" t="str">
        <v>Corriente</v>
      </c>
      <c r="F5" s="5" t="str">
        <v>Dársenas (zona de maniobra y reviro)</v>
      </c>
      <c r="G5" s="5" t="str">
        <v>Activo físico</v>
      </c>
      <c r="H5" s="5">
        <v>0.5</v>
      </c>
      <c r="I5" s="5" t="str">
        <v/>
      </c>
      <c r="J5" s="5" t="str">
        <v/>
      </c>
      <c r="K5" s="5" t="str">
        <v/>
      </c>
      <c r="L5" s="5" t="str">
        <v/>
      </c>
      <c r="M5" s="5" t="str">
        <v/>
      </c>
      <c r="N5" s="5" t="str">
        <v/>
      </c>
      <c r="O5" s="5" t="str">
        <v/>
      </c>
      <c r="P5" s="5" t="str">
        <v/>
      </c>
    </row>
  </sheetData>
  <pageMargins left="0.7" right="0.7" top="0.75" bottom="0.75" header="0.3" footer="0.3"/>
  <pageSetup paperSize="9" scale="2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3CB9-37CB-49BC-B4C0-4AD3DE691DF8}">
  <dimension ref="A1:P5"/>
  <sheetViews>
    <sheetView view="pageBreakPreview" zoomScale="115" zoomScaleNormal="100" zoomScaleSheetLayoutView="115" workbookViewId="0">
      <selection activeCell="H17" sqref="H17"/>
    </sheetView>
  </sheetViews>
  <sheetFormatPr baseColWidth="10" defaultRowHeight="15" x14ac:dyDescent="0.25"/>
  <cols>
    <col min="1" max="1" width="12.140625" bestFit="1" customWidth="1"/>
    <col min="2" max="2" width="3.5703125" bestFit="1" customWidth="1"/>
    <col min="3" max="3" width="15.140625" bestFit="1" customWidth="1"/>
    <col min="4" max="4" width="31.85546875" bestFit="1" customWidth="1"/>
    <col min="5" max="5" width="12.85546875" bestFit="1" customWidth="1"/>
    <col min="6" max="6" width="24.7109375" bestFit="1" customWidth="1"/>
    <col min="7" max="7" width="18.42578125" bestFit="1" customWidth="1"/>
    <col min="8" max="8" width="18.85546875" bestFit="1" customWidth="1"/>
    <col min="9" max="9" width="16.42578125" customWidth="1"/>
    <col min="10" max="10" width="16.5703125" customWidth="1"/>
    <col min="11" max="11" width="25" customWidth="1"/>
    <col min="12" max="12" width="48.28515625" bestFit="1" customWidth="1"/>
    <col min="13" max="14" width="9.42578125" bestFit="1" customWidth="1"/>
    <col min="15" max="15" width="17.42578125" bestFit="1" customWidth="1"/>
    <col min="16" max="16" width="13.5703125" bestFit="1" customWidth="1"/>
  </cols>
  <sheetData>
    <row r="1" spans="1:16" s="13" customFormat="1" ht="30" x14ac:dyDescent="0.25">
      <c r="A1" s="19" t="s">
        <v>121</v>
      </c>
      <c r="B1" s="11" t="s">
        <v>110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tr">
        <f>+_xlfn.CONCAT('ListRelacion impactos-indicador'!$H$1, " (",'ListRelacion impactos-indicador'!$G$37,")")</f>
        <v>Umbral General (m)</v>
      </c>
      <c r="I1" s="12" t="s">
        <v>101</v>
      </c>
      <c r="J1" s="12" t="s">
        <v>102</v>
      </c>
      <c r="K1" s="12" t="s">
        <v>103</v>
      </c>
      <c r="L1" s="11" t="s">
        <v>104</v>
      </c>
      <c r="M1" s="12" t="s">
        <v>105</v>
      </c>
      <c r="N1" s="12" t="s">
        <v>106</v>
      </c>
      <c r="O1" s="11" t="s">
        <v>107</v>
      </c>
      <c r="P1" s="11" t="s">
        <v>108</v>
      </c>
    </row>
    <row r="2" spans="1:16" x14ac:dyDescent="0.25">
      <c r="A2" s="16" t="str" cm="1">
        <f t="array" ref="A2:A5">_xlfn._xlws.FILTER(IF(B2:B176&lt;&gt;"","Francobordo",""),B2:B176&lt;&gt;"")</f>
        <v>Francobordo</v>
      </c>
      <c r="B2" s="5" cm="1">
        <f t="array" ref="B2:B5">_xlfn._xlws.FILTER('ListRelacion impactos-indicador'!A2:A182,'ListRelacion impactos-indicador'!$C$2:$C$182="Falta de francobordo","")</f>
        <v>36</v>
      </c>
      <c r="C2" s="5" t="str" cm="1">
        <f t="array" ref="C2:C5">_xlfn._xlws.FILTER('ListRelacion impactos-indicador'!B2:B182,'ListRelacion impactos-indicador'!$C$2:$C$182="Falta de francobordo","")</f>
        <v>ELO</v>
      </c>
      <c r="D2" s="5" t="str" cm="1">
        <f t="array" ref="D2:D5">_xlfn._xlws.FILTER('ListRelacion impactos-indicador'!C2:C182,'ListRelacion impactos-indicador'!$C$2:$C$182="Falta de francobordo","")</f>
        <v>Falta de francobordo</v>
      </c>
      <c r="E2" s="5" t="str" cm="1">
        <f t="array" ref="E2:E5">_xlfn._xlws.FILTER('ListRelacion impactos-indicador'!D2:D182,'ListRelacion impactos-indicador'!$C$2:$C$182="Falta de francobordo","")</f>
        <v>Nivel del mar</v>
      </c>
      <c r="F2" s="5" t="str" cm="1">
        <f t="array" ref="F2:F5">_xlfn._xlws.FILTER('ListRelacion impactos-indicador'!E2:E182,'ListRelacion impactos-indicador'!$C$2:$C$182="Falta de francobordo","")</f>
        <v>Muelle</v>
      </c>
      <c r="G2" s="5" t="str" cm="1">
        <f t="array" ref="G2:G5">_xlfn._xlws.FILTER('ListRelacion impactos-indicador'!F2:F182,'ListRelacion impactos-indicador'!$C$2:$C$182="Falta de francobordo","")</f>
        <v>Activo físico</v>
      </c>
      <c r="H2" s="5" cm="1">
        <f t="array" ref="H2:H5">_xlfn._xlws.FILTER(IF('ListRelacion impactos-indicador'!H2:H182="","",'ListRelacion impactos-indicador'!H2:H182),'ListRelacion impactos-indicador'!$C$2:$C$182="Falta de francobordo","")</f>
        <v>0.5</v>
      </c>
      <c r="I2" s="5" t="str" cm="1">
        <f t="array" ref="I2:I5">_xlfn._xlws.FILTER(IF('ListRelacion impactos-indicador'!I2:I182="","",'ListRelacion impactos-indicador'!I2:I182),'ListRelacion impactos-indicador'!$C$2:$C$182="Falta de francobordo","")</f>
        <v/>
      </c>
      <c r="J2" s="5" t="str" cm="1">
        <f t="array" ref="J2:J5">_xlfn._xlws.FILTER(IF('ListRelacion impactos-indicador'!J2:J182="","",'ListRelacion impactos-indicador'!J2:J182),'ListRelacion impactos-indicador'!$C$2:$C$182="Falta de francobordo","")</f>
        <v/>
      </c>
      <c r="K2" s="5" t="str" cm="1">
        <f t="array" ref="K2:K5">_xlfn._xlws.FILTER(IF('ListRelacion impactos-indicador'!K2:K182="","",'ListRelacion impactos-indicador'!K2:K182),'ListRelacion impactos-indicador'!$C$2:$C$182="Falta de francobordo","")</f>
        <v/>
      </c>
      <c r="L2" s="5" t="str" cm="1">
        <f t="array" ref="L2:L5">_xlfn._xlws.FILTER(IF('ListRelacion impactos-indicador'!L2:L182="","",'ListRelacion impactos-indicador'!L2:L182),'ListRelacion impactos-indicador'!$C$2:$C$182="Falta de francobordo","")</f>
        <v/>
      </c>
      <c r="M2" s="5" t="str" cm="1">
        <f t="array" ref="M2:M5">_xlfn._xlws.FILTER(IF('ListRelacion impactos-indicador'!M2:M182="","",'ListRelacion impactos-indicador'!M2:M182),'ListRelacion impactos-indicador'!$C$2:$C$182="Falta de francobordo","")</f>
        <v/>
      </c>
      <c r="N2" s="5" t="str" cm="1">
        <f t="array" ref="N2:N5">_xlfn._xlws.FILTER(IF('ListRelacion impactos-indicador'!N2:N182="","",'ListRelacion impactos-indicador'!N2:N182),'ListRelacion impactos-indicador'!$C$2:$C$182="Falta de francobordo","")</f>
        <v/>
      </c>
      <c r="O2" s="5" t="str" cm="1">
        <f t="array" ref="O2:O5">_xlfn._xlws.FILTER(IF('ListRelacion impactos-indicador'!O2:O182="","",'ListRelacion impactos-indicador'!O2:O182),'ListRelacion impactos-indicador'!$C$2:$C$182="Falta de francobordo","")</f>
        <v/>
      </c>
      <c r="P2" s="5" t="str" cm="1">
        <f t="array" ref="P2:P5">_xlfn._xlws.FILTER(IF('ListRelacion impactos-indicador'!P2:P182="","",'ListRelacion impactos-indicador'!P2:P182),'ListRelacion impactos-indicador'!$C$2:$C$182="Falta de francobordo","")</f>
        <v/>
      </c>
    </row>
    <row r="3" spans="1:16" x14ac:dyDescent="0.25">
      <c r="A3" s="16" t="str">
        <v>Francobordo</v>
      </c>
      <c r="B3" s="5">
        <v>39</v>
      </c>
      <c r="C3" s="5" t="str">
        <v>ELO</v>
      </c>
      <c r="D3" s="5" t="str">
        <v>Falta de francobordo</v>
      </c>
      <c r="E3" s="5" t="str">
        <v>Nivel del mar</v>
      </c>
      <c r="F3" s="5" t="str">
        <v>Pantalán</v>
      </c>
      <c r="G3" s="5" t="str">
        <v>Activo físico</v>
      </c>
      <c r="H3" s="5">
        <v>0.5</v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/>
      </c>
      <c r="P3" s="5" t="str">
        <v/>
      </c>
    </row>
    <row r="4" spans="1:16" x14ac:dyDescent="0.25">
      <c r="A4" s="16" t="str">
        <v>Francobordo</v>
      </c>
      <c r="B4" s="5">
        <v>42</v>
      </c>
      <c r="C4" s="5" t="str">
        <v>ELO</v>
      </c>
      <c r="D4" s="5" t="str">
        <v>Falta de francobordo</v>
      </c>
      <c r="E4" s="5" t="str">
        <v>Nivel del mar</v>
      </c>
      <c r="F4" s="5" t="str">
        <v>Duque de alba</v>
      </c>
      <c r="G4" s="5" t="str">
        <v>Activo físico</v>
      </c>
      <c r="H4" s="5">
        <v>0.5</v>
      </c>
      <c r="I4" s="5" t="str">
        <v/>
      </c>
      <c r="J4" s="5" t="str">
        <v/>
      </c>
      <c r="K4" s="5" t="str">
        <v/>
      </c>
      <c r="L4" s="5" t="str">
        <v/>
      </c>
      <c r="M4" s="5" t="str">
        <v/>
      </c>
      <c r="N4" s="5" t="str">
        <v/>
      </c>
      <c r="O4" s="5" t="str">
        <v/>
      </c>
      <c r="P4" s="5" t="str">
        <v/>
      </c>
    </row>
    <row r="5" spans="1:16" x14ac:dyDescent="0.25">
      <c r="A5" s="16" t="str">
        <v>Francobordo</v>
      </c>
      <c r="B5" s="5">
        <v>47</v>
      </c>
      <c r="C5" s="5" t="str">
        <v>ELO</v>
      </c>
      <c r="D5" s="5" t="str">
        <v>Falta de francobordo</v>
      </c>
      <c r="E5" s="5" t="str">
        <v>Nivel del mar</v>
      </c>
      <c r="F5" s="5" t="str">
        <v>Rampa Ro-Ro</v>
      </c>
      <c r="G5" s="5" t="str">
        <v>Activo físico</v>
      </c>
      <c r="H5" s="5">
        <v>0.5</v>
      </c>
      <c r="I5" s="5" t="str">
        <v/>
      </c>
      <c r="J5" s="5" t="str">
        <v/>
      </c>
      <c r="K5" s="5" t="str">
        <v/>
      </c>
      <c r="L5" s="5" t="str">
        <v/>
      </c>
      <c r="M5" s="5" t="str">
        <v/>
      </c>
      <c r="N5" s="5" t="str">
        <v/>
      </c>
      <c r="O5" s="5" t="str">
        <v/>
      </c>
      <c r="P5" s="5" t="str">
        <v/>
      </c>
    </row>
  </sheetData>
  <pageMargins left="0.7" right="0.7" top="0.75" bottom="0.75" header="0.3" footer="0.3"/>
  <pageSetup paperSize="9" scale="2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1E56-587B-4FF8-80AA-41E581C42279}">
  <dimension ref="A1:P54"/>
  <sheetViews>
    <sheetView view="pageBreakPreview" topLeftCell="A20" zoomScale="130" zoomScaleNormal="100" zoomScaleSheetLayoutView="130" workbookViewId="0">
      <selection activeCell="F31" sqref="F31"/>
    </sheetView>
  </sheetViews>
  <sheetFormatPr baseColWidth="10" defaultRowHeight="15" x14ac:dyDescent="0.25"/>
  <cols>
    <col min="1" max="1" width="10.85546875" bestFit="1" customWidth="1"/>
    <col min="2" max="2" width="4.28515625" bestFit="1" customWidth="1"/>
    <col min="3" max="3" width="15.140625" bestFit="1" customWidth="1"/>
    <col min="4" max="4" width="34.5703125" bestFit="1" customWidth="1"/>
    <col min="5" max="5" width="17.85546875" bestFit="1" customWidth="1"/>
    <col min="6" max="6" width="73.140625" bestFit="1" customWidth="1"/>
    <col min="7" max="7" width="21.5703125" bestFit="1" customWidth="1"/>
    <col min="8" max="8" width="18.85546875" bestFit="1" customWidth="1"/>
    <col min="9" max="10" width="9" bestFit="1" customWidth="1"/>
    <col min="12" max="12" width="48.28515625" bestFit="1" customWidth="1"/>
    <col min="13" max="14" width="9.42578125" bestFit="1" customWidth="1"/>
    <col min="15" max="15" width="17.42578125" bestFit="1" customWidth="1"/>
    <col min="16" max="16" width="13.5703125" bestFit="1" customWidth="1"/>
  </cols>
  <sheetData>
    <row r="1" spans="1:16" s="10" customFormat="1" ht="45" x14ac:dyDescent="0.25">
      <c r="A1" s="19" t="s">
        <v>121</v>
      </c>
      <c r="B1" s="11" t="s">
        <v>110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tr">
        <f>+_xlfn.CONCAT('ListRelacion impactos-indicador'!$H$1, " (",'ListRelacion impactos-indicador'!$G$52,")")</f>
        <v>Umbral General ()</v>
      </c>
      <c r="I1" s="12" t="s">
        <v>101</v>
      </c>
      <c r="J1" s="12" t="s">
        <v>102</v>
      </c>
      <c r="K1" s="12" t="s">
        <v>103</v>
      </c>
      <c r="L1" s="11" t="s">
        <v>104</v>
      </c>
      <c r="M1" s="12" t="s">
        <v>105</v>
      </c>
      <c r="N1" s="12" t="s">
        <v>106</v>
      </c>
      <c r="O1" s="11" t="s">
        <v>107</v>
      </c>
      <c r="P1" s="11" t="s">
        <v>108</v>
      </c>
    </row>
    <row r="2" spans="1:16" x14ac:dyDescent="0.25">
      <c r="A2" s="16" t="str" cm="1">
        <f t="array" ref="A2:A53">_xlfn._xlws.FILTER(IF(B2:B176&lt;&gt;"","Inundación",""),B2:B176&lt;&gt;"")</f>
        <v>Inundación</v>
      </c>
      <c r="B2" s="7" cm="1">
        <f t="array" ref="B2:B53">_xlfn._xlws.FILTER('ListRelacion impactos-indicador'!A2:A182,'ListRelacion impactos-indicador'!$D$2:$D$182="Inundación costera","")</f>
        <v>51</v>
      </c>
      <c r="C2" s="7" t="str" cm="1">
        <f t="array" ref="C2:C53">_xlfn._xlws.FILTER('ListRelacion impactos-indicador'!B2:B182,'ListRelacion impactos-indicador'!$D$2:$D$182="Inundación costera","")</f>
        <v>ELO</v>
      </c>
      <c r="D2" s="7" t="str" cm="1">
        <f t="array" ref="D2:D53">_xlfn._xlws.FILTER('ListRelacion impactos-indicador'!C2:C182,'ListRelacion impactos-indicador'!$D$2:$D$182="Inundación costera","")</f>
        <v>Inundación costera</v>
      </c>
      <c r="E2" s="7" t="str" cm="1">
        <f t="array" ref="E2:E53">_xlfn._xlws.FILTER('ListRelacion impactos-indicador'!D2:D182,'ListRelacion impactos-indicador'!$D$2:$D$182="Inundación costera","")</f>
        <v>Inundación costera</v>
      </c>
      <c r="F2" s="7" t="str" cm="1">
        <f t="array" ref="F2:F53">_xlfn._xlws.FILTER('ListRelacion impactos-indicador'!E2:E182,'ListRelacion impactos-indicador'!$D$2:$D$182="Inundación costera","")</f>
        <v>Superficies</v>
      </c>
      <c r="G2" s="7" t="str" cm="1">
        <f t="array" ref="G2:G53">_xlfn._xlws.FILTER('ListRelacion impactos-indicador'!F2:F182,'ListRelacion impactos-indicador'!$D$2:$D$182="Inundación costera","")</f>
        <v>Activo físico</v>
      </c>
      <c r="H2" s="7" t="str" cm="1">
        <f t="array" ref="H2:H53">_xlfn._xlws.FILTER(IF('ListRelacion impactos-indicador'!H2:H182="","",'ListRelacion impactos-indicador'!H2:H182),'ListRelacion impactos-indicador'!$D$2:$D$182="Inundación costera","")</f>
        <v/>
      </c>
      <c r="I2" s="7" t="str" cm="1">
        <f t="array" ref="I2:I53">_xlfn._xlws.FILTER(IF('ListRelacion impactos-indicador'!I2:I182="","",'ListRelacion impactos-indicador'!I2:I182),'ListRelacion impactos-indicador'!$D$2:$D$182="Inundación costera","")</f>
        <v/>
      </c>
      <c r="J2" s="7" t="str" cm="1">
        <f t="array" ref="J2:J53">_xlfn._xlws.FILTER(IF('ListRelacion impactos-indicador'!J2:J182="","",'ListRelacion impactos-indicador'!J2:J182),'ListRelacion impactos-indicador'!$D$2:$D$182="Inundación costera","")</f>
        <v/>
      </c>
      <c r="K2" s="7" t="str" cm="1">
        <f t="array" ref="K2:K53">_xlfn._xlws.FILTER(IF('ListRelacion impactos-indicador'!K2:K182="","",'ListRelacion impactos-indicador'!K2:K182),'ListRelacion impactos-indicador'!$D$2:$D$182="Inundación costera","")</f>
        <v/>
      </c>
      <c r="L2" s="7" t="str" cm="1">
        <f t="array" ref="L2:L53">_xlfn._xlws.FILTER(IF('ListRelacion impactos-indicador'!L2:L182="","",'ListRelacion impactos-indicador'!L2:L182),'ListRelacion impactos-indicador'!$D$2:$D$182="Inundación costera","")</f>
        <v/>
      </c>
      <c r="M2" s="7" t="str" cm="1">
        <f t="array" ref="M2:M53">_xlfn._xlws.FILTER(IF('ListRelacion impactos-indicador'!M2:M182="","",'ListRelacion impactos-indicador'!M2:M182),'ListRelacion impactos-indicador'!$D$2:$D$182="Inundación costera","")</f>
        <v/>
      </c>
      <c r="N2" s="7" t="str" cm="1">
        <f t="array" ref="N2:N53">_xlfn._xlws.FILTER(IF('ListRelacion impactos-indicador'!N2:N182="","",'ListRelacion impactos-indicador'!N2:N182),'ListRelacion impactos-indicador'!$D$2:$D$182="Inundación costera","")</f>
        <v/>
      </c>
      <c r="O2" s="7" t="str" cm="1">
        <f t="array" ref="O2:O53">_xlfn._xlws.FILTER(IF('ListRelacion impactos-indicador'!O2:O182="","",'ListRelacion impactos-indicador'!O2:O182),'ListRelacion impactos-indicador'!$D$2:$D$182="Inundación costera","")</f>
        <v/>
      </c>
      <c r="P2" s="7" t="str" cm="1">
        <f t="array" ref="P2:P53">_xlfn._xlws.FILTER(IF('ListRelacion impactos-indicador'!P2:P182="","",'ListRelacion impactos-indicador'!P2:P182),'ListRelacion impactos-indicador'!$D$2:$D$182="Inundación costera","")</f>
        <v/>
      </c>
    </row>
    <row r="3" spans="1:16" x14ac:dyDescent="0.25">
      <c r="A3" s="16" t="str">
        <v>Inundación</v>
      </c>
      <c r="B3" s="7">
        <v>52</v>
      </c>
      <c r="C3" s="7" t="str">
        <v>ELO</v>
      </c>
      <c r="D3" s="7" t="str">
        <v>Inundación costera</v>
      </c>
      <c r="E3" s="7" t="str">
        <v>Inundación costera</v>
      </c>
      <c r="F3" s="7" t="str">
        <v>Pavimentos</v>
      </c>
      <c r="G3" s="7" t="str">
        <v>Activo físico</v>
      </c>
      <c r="H3" s="7" t="str">
        <v/>
      </c>
      <c r="I3" s="16" t="str">
        <v/>
      </c>
      <c r="J3" s="16" t="str">
        <v/>
      </c>
      <c r="K3" s="16" t="str">
        <v/>
      </c>
      <c r="L3" s="16" t="str">
        <v/>
      </c>
      <c r="M3" s="16" t="str">
        <v/>
      </c>
      <c r="N3" s="16" t="str">
        <v/>
      </c>
      <c r="O3" s="16" t="str">
        <v/>
      </c>
      <c r="P3" s="16" t="str">
        <v/>
      </c>
    </row>
    <row r="4" spans="1:16" x14ac:dyDescent="0.25">
      <c r="A4" s="16" t="str">
        <v>Inundación</v>
      </c>
      <c r="B4" s="7">
        <v>53</v>
      </c>
      <c r="C4" s="7" t="str">
        <v>ELO</v>
      </c>
      <c r="D4" s="7" t="str">
        <v>Inundación</v>
      </c>
      <c r="E4" s="7" t="str">
        <v>Inundación costera</v>
      </c>
      <c r="F4" s="7" t="str">
        <v>Electricidad</v>
      </c>
      <c r="G4" s="7" t="str">
        <v>Activo físico</v>
      </c>
      <c r="H4" s="7" t="str">
        <v/>
      </c>
      <c r="I4" s="16" t="str">
        <v/>
      </c>
      <c r="J4" s="16" t="str">
        <v/>
      </c>
      <c r="K4" s="16" t="str">
        <v/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</row>
    <row r="5" spans="1:16" x14ac:dyDescent="0.25">
      <c r="A5" s="16" t="str">
        <v>Inundación</v>
      </c>
      <c r="B5" s="7">
        <v>54</v>
      </c>
      <c r="C5" s="7" t="str">
        <v>ELO</v>
      </c>
      <c r="D5" s="7" t="str">
        <v>Inundación costera</v>
      </c>
      <c r="E5" s="7" t="str">
        <v>Inundación costera</v>
      </c>
      <c r="F5" s="7" t="str">
        <v>Alumbrado</v>
      </c>
      <c r="G5" s="7" t="str">
        <v>Activo físico</v>
      </c>
      <c r="H5" s="7" t="str">
        <v/>
      </c>
      <c r="I5" s="16" t="str">
        <v/>
      </c>
      <c r="J5" s="16" t="str">
        <v/>
      </c>
      <c r="K5" s="16" t="str">
        <v/>
      </c>
      <c r="L5" s="16" t="str">
        <v/>
      </c>
      <c r="M5" s="16" t="str">
        <v/>
      </c>
      <c r="N5" s="16" t="str">
        <v/>
      </c>
      <c r="O5" s="16" t="str">
        <v/>
      </c>
      <c r="P5" s="16" t="str">
        <v/>
      </c>
    </row>
    <row r="6" spans="1:16" x14ac:dyDescent="0.25">
      <c r="A6" s="16" t="str">
        <v>Inundación</v>
      </c>
      <c r="B6" s="7">
        <v>55</v>
      </c>
      <c r="C6" s="7" t="str">
        <v>ELO</v>
      </c>
      <c r="D6" s="7" t="str">
        <v>Inundación</v>
      </c>
      <c r="E6" s="7" t="str">
        <v>Inundación costera</v>
      </c>
      <c r="F6" s="7" t="str">
        <v>Suministro de agua</v>
      </c>
      <c r="G6" s="7" t="str">
        <v>Activo físico</v>
      </c>
      <c r="H6" s="7" t="str">
        <v/>
      </c>
      <c r="I6" s="16" t="str">
        <v/>
      </c>
      <c r="J6" s="16" t="str">
        <v/>
      </c>
      <c r="K6" s="16" t="str">
        <v/>
      </c>
      <c r="L6" s="16" t="str">
        <v/>
      </c>
      <c r="M6" s="16" t="str">
        <v/>
      </c>
      <c r="N6" s="16" t="str">
        <v/>
      </c>
      <c r="O6" s="16" t="str">
        <v/>
      </c>
      <c r="P6" s="16" t="str">
        <v/>
      </c>
    </row>
    <row r="7" spans="1:16" x14ac:dyDescent="0.25">
      <c r="A7" s="16" t="str">
        <v>Inundación</v>
      </c>
      <c r="B7" s="7">
        <v>57</v>
      </c>
      <c r="C7" s="7" t="str">
        <v>ELO</v>
      </c>
      <c r="D7" s="7" t="str">
        <v>Inundación</v>
      </c>
      <c r="E7" s="7" t="str">
        <v>Inundación costera</v>
      </c>
      <c r="F7" s="7" t="str">
        <v>Telecomunicaciones y datos</v>
      </c>
      <c r="G7" s="7" t="str">
        <v>Activo físico</v>
      </c>
      <c r="H7" s="7" t="str">
        <v/>
      </c>
      <c r="I7" s="16" t="str">
        <v/>
      </c>
      <c r="J7" s="16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</row>
    <row r="8" spans="1:16" x14ac:dyDescent="0.25">
      <c r="A8" s="16" t="str">
        <v>Inundación</v>
      </c>
      <c r="B8" s="7">
        <v>58</v>
      </c>
      <c r="C8" s="7" t="str">
        <v>ELO</v>
      </c>
      <c r="D8" s="7" t="str">
        <v>Inundación costera</v>
      </c>
      <c r="E8" s="7" t="str">
        <v>Inundación costera</v>
      </c>
      <c r="F8" s="7" t="str">
        <v>Accesos ferroviarios y terminales ferroportuarias</v>
      </c>
      <c r="G8" s="7" t="str">
        <v>Activo físico</v>
      </c>
      <c r="H8" s="7" t="str">
        <v/>
      </c>
      <c r="I8" s="16" t="str">
        <v/>
      </c>
      <c r="J8" s="16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</row>
    <row r="9" spans="1:16" x14ac:dyDescent="0.25">
      <c r="A9" s="16" t="str">
        <v>Inundación</v>
      </c>
      <c r="B9" s="7">
        <v>59</v>
      </c>
      <c r="C9" s="7" t="str">
        <v>ELO</v>
      </c>
      <c r="D9" s="7" t="str">
        <v>Inundación costera</v>
      </c>
      <c r="E9" s="7" t="str">
        <v>Inundación costera</v>
      </c>
      <c r="F9" s="7" t="str">
        <v>Accesos viarios</v>
      </c>
      <c r="G9" s="7" t="str">
        <v>Activo físico</v>
      </c>
      <c r="H9" s="7" t="str">
        <v/>
      </c>
      <c r="I9" s="16" t="str">
        <v/>
      </c>
      <c r="J9" s="16" t="str">
        <v/>
      </c>
      <c r="K9" s="16" t="str">
        <v/>
      </c>
      <c r="L9" s="16" t="str">
        <v/>
      </c>
      <c r="M9" s="16" t="str">
        <v/>
      </c>
      <c r="N9" s="16" t="str">
        <v/>
      </c>
      <c r="O9" s="16" t="str">
        <v/>
      </c>
      <c r="P9" s="16" t="str">
        <v/>
      </c>
    </row>
    <row r="10" spans="1:16" x14ac:dyDescent="0.25">
      <c r="A10" s="16" t="str">
        <v>Inundación</v>
      </c>
      <c r="B10" s="7">
        <v>60</v>
      </c>
      <c r="C10" s="7" t="str">
        <v>ELO</v>
      </c>
      <c r="D10" s="7" t="str">
        <v>Inundación costera</v>
      </c>
      <c r="E10" s="7" t="str">
        <v>Inundación costera</v>
      </c>
      <c r="F10" s="7" t="str">
        <v>Edificios de servicios generales (Oficinas, Aduanas, PIF, Control de accesos, etc.)</v>
      </c>
      <c r="G10" s="7" t="str">
        <v>Activo físico</v>
      </c>
      <c r="H10" s="7" t="str">
        <v/>
      </c>
      <c r="I10" s="16" t="str">
        <v/>
      </c>
      <c r="J10" s="16" t="str">
        <v/>
      </c>
      <c r="K10" s="16" t="str">
        <v/>
      </c>
      <c r="L10" s="16" t="str">
        <v/>
      </c>
      <c r="M10" s="16" t="str">
        <v/>
      </c>
      <c r="N10" s="16" t="str">
        <v/>
      </c>
      <c r="O10" s="16" t="str">
        <v/>
      </c>
      <c r="P10" s="16" t="str">
        <v/>
      </c>
    </row>
    <row r="11" spans="1:16" x14ac:dyDescent="0.25">
      <c r="A11" s="16" t="str">
        <v>Inundación</v>
      </c>
      <c r="B11" s="7">
        <v>62</v>
      </c>
      <c r="C11" s="7" t="str">
        <v>ELO</v>
      </c>
      <c r="D11" s="7" t="str">
        <v>Inundación costera</v>
      </c>
      <c r="E11" s="7" t="str">
        <v>Inundación costera</v>
      </c>
      <c r="F11" s="7" t="str">
        <v>Manipulación de mercancía</v>
      </c>
      <c r="G11" s="7" t="str">
        <v>Operacional (servicios)</v>
      </c>
      <c r="H11" s="7" t="str">
        <v/>
      </c>
      <c r="I11" s="16" t="str">
        <v/>
      </c>
      <c r="J11" s="16" t="str">
        <v/>
      </c>
      <c r="K11" s="16" t="str">
        <v/>
      </c>
      <c r="L11" s="16" t="str">
        <v/>
      </c>
      <c r="M11" s="16" t="str">
        <v/>
      </c>
      <c r="N11" s="16" t="str">
        <v/>
      </c>
      <c r="O11" s="16" t="str">
        <v/>
      </c>
      <c r="P11" s="16" t="str">
        <v/>
      </c>
    </row>
    <row r="12" spans="1:16" x14ac:dyDescent="0.25">
      <c r="A12" s="16" t="str">
        <v>Inundación</v>
      </c>
      <c r="B12" s="7">
        <v>68</v>
      </c>
      <c r="C12" s="7" t="str">
        <v>ELO</v>
      </c>
      <c r="D12" s="7" t="str">
        <v>Inundación costera</v>
      </c>
      <c r="E12" s="7" t="str">
        <v>Inundación costera</v>
      </c>
      <c r="F12" s="7" t="str">
        <v>Zonas de Actividad Logística</v>
      </c>
      <c r="G12" s="7" t="str">
        <v>Activo físico</v>
      </c>
      <c r="H12" s="7" t="str">
        <v/>
      </c>
      <c r="I12" s="16" t="str">
        <v/>
      </c>
      <c r="J12" s="16" t="str">
        <v/>
      </c>
      <c r="K12" s="16" t="str">
        <v/>
      </c>
      <c r="L12" s="16" t="str">
        <v/>
      </c>
      <c r="M12" s="16" t="str">
        <v/>
      </c>
      <c r="N12" s="16" t="str">
        <v/>
      </c>
      <c r="O12" s="16" t="str">
        <v/>
      </c>
      <c r="P12" s="16" t="str">
        <v/>
      </c>
    </row>
    <row r="13" spans="1:16" x14ac:dyDescent="0.25">
      <c r="A13" s="16" t="str">
        <v>Inundación</v>
      </c>
      <c r="B13" s="7">
        <v>70</v>
      </c>
      <c r="C13" s="7" t="str">
        <v>ELO</v>
      </c>
      <c r="D13" s="7" t="str">
        <v>Inundación</v>
      </c>
      <c r="E13" s="7" t="str">
        <v>Inundación costera</v>
      </c>
      <c r="F13" s="7" t="str">
        <v>Astilleros, diques secos, varaderos</v>
      </c>
      <c r="G13" s="7" t="str">
        <v>Activo físico</v>
      </c>
      <c r="H13" s="7" t="str">
        <v/>
      </c>
      <c r="I13" s="16" t="str">
        <v/>
      </c>
      <c r="J13" s="16" t="str">
        <v/>
      </c>
      <c r="K13" s="16" t="str">
        <v/>
      </c>
      <c r="L13" s="16" t="str">
        <v/>
      </c>
      <c r="M13" s="16" t="str">
        <v/>
      </c>
      <c r="N13" s="16" t="str">
        <v/>
      </c>
      <c r="O13" s="16" t="str">
        <v/>
      </c>
      <c r="P13" s="16" t="str">
        <v/>
      </c>
    </row>
    <row r="14" spans="1:16" x14ac:dyDescent="0.25">
      <c r="A14" s="16" t="str">
        <v>Inundación</v>
      </c>
      <c r="B14" s="7">
        <v>71</v>
      </c>
      <c r="C14" s="7" t="str">
        <v>ELO</v>
      </c>
      <c r="D14" s="7" t="str">
        <v>Inundación</v>
      </c>
      <c r="E14" s="7" t="str">
        <v>Inundación costera</v>
      </c>
      <c r="F14" s="7" t="str">
        <v>Tanques de almacenamiento</v>
      </c>
      <c r="G14" s="7" t="str">
        <v>Activo físico</v>
      </c>
      <c r="H14" s="7" t="str">
        <v/>
      </c>
      <c r="I14" s="16" t="str">
        <v/>
      </c>
      <c r="J14" s="16" t="str">
        <v/>
      </c>
      <c r="K14" s="16" t="str">
        <v/>
      </c>
      <c r="L14" s="16" t="str">
        <v/>
      </c>
      <c r="M14" s="16" t="str">
        <v/>
      </c>
      <c r="N14" s="16" t="str">
        <v/>
      </c>
      <c r="O14" s="16" t="str">
        <v/>
      </c>
      <c r="P14" s="16" t="str">
        <v/>
      </c>
    </row>
    <row r="15" spans="1:16" x14ac:dyDescent="0.25">
      <c r="A15" s="16" t="str">
        <v>Inundación</v>
      </c>
      <c r="B15" s="7">
        <v>73</v>
      </c>
      <c r="C15" s="7" t="str">
        <v>ELO</v>
      </c>
      <c r="D15" s="7" t="str">
        <v>Inundación</v>
      </c>
      <c r="E15" s="7" t="str">
        <v>Inundación costera</v>
      </c>
      <c r="F15" s="7" t="str">
        <v>Depósito /Almacenamiento</v>
      </c>
      <c r="G15" s="7" t="str">
        <v>Activo físico</v>
      </c>
      <c r="H15" s="7" t="str">
        <v/>
      </c>
      <c r="I15" s="16" t="str">
        <v/>
      </c>
      <c r="J15" s="16" t="str">
        <v/>
      </c>
      <c r="K15" s="16" t="str">
        <v/>
      </c>
      <c r="L15" s="16" t="str">
        <v/>
      </c>
      <c r="M15" s="16" t="str">
        <v/>
      </c>
      <c r="N15" s="16" t="str">
        <v/>
      </c>
      <c r="O15" s="16" t="str">
        <v/>
      </c>
      <c r="P15" s="16" t="str">
        <v/>
      </c>
    </row>
    <row r="16" spans="1:16" x14ac:dyDescent="0.25">
      <c r="A16" s="16" t="str">
        <v>Inundación</v>
      </c>
      <c r="B16" s="7">
        <v>75</v>
      </c>
      <c r="C16" s="7" t="str">
        <v>ELO</v>
      </c>
      <c r="D16" s="7" t="str">
        <v>Inundación</v>
      </c>
      <c r="E16" s="7" t="str">
        <v>Inundación costera</v>
      </c>
      <c r="F16" s="7" t="str">
        <v>Grúas de muelle</v>
      </c>
      <c r="G16" s="7" t="str">
        <v>Activo físico</v>
      </c>
      <c r="H16" s="7" t="str">
        <v/>
      </c>
      <c r="I16" s="16" t="str">
        <v/>
      </c>
      <c r="J16" s="16" t="str">
        <v/>
      </c>
      <c r="K16" s="16" t="str">
        <v/>
      </c>
      <c r="L16" s="16" t="str">
        <v/>
      </c>
      <c r="M16" s="16" t="str">
        <v/>
      </c>
      <c r="N16" s="16" t="str">
        <v/>
      </c>
      <c r="O16" s="16" t="str">
        <v/>
      </c>
      <c r="P16" s="16" t="str">
        <v/>
      </c>
    </row>
    <row r="17" spans="1:16" x14ac:dyDescent="0.25">
      <c r="A17" s="16" t="str">
        <v>Inundación</v>
      </c>
      <c r="B17" s="7">
        <v>78</v>
      </c>
      <c r="C17" s="7" t="str">
        <v>ELO</v>
      </c>
      <c r="D17" s="7" t="str">
        <v>Inundación</v>
      </c>
      <c r="E17" s="7" t="str">
        <v>Inundación costera</v>
      </c>
      <c r="F17" s="7" t="str">
        <v>Maquinaria de patio</v>
      </c>
      <c r="G17" s="7" t="str">
        <v>Activo físico</v>
      </c>
      <c r="H17" s="7" t="str">
        <v/>
      </c>
      <c r="I17" s="16" t="str">
        <v/>
      </c>
      <c r="J17" s="16" t="str">
        <v/>
      </c>
      <c r="K17" s="16" t="str">
        <v/>
      </c>
      <c r="L17" s="16" t="str">
        <v/>
      </c>
      <c r="M17" s="16" t="str">
        <v/>
      </c>
      <c r="N17" s="16" t="str">
        <v/>
      </c>
      <c r="O17" s="16" t="str">
        <v/>
      </c>
      <c r="P17" s="16" t="str">
        <v/>
      </c>
    </row>
    <row r="18" spans="1:16" x14ac:dyDescent="0.25">
      <c r="A18" s="16" t="str">
        <v>Inundación</v>
      </c>
      <c r="B18" s="7">
        <v>79</v>
      </c>
      <c r="C18" s="7" t="str">
        <v>ELO</v>
      </c>
      <c r="D18" s="7" t="str">
        <v>Inundación</v>
      </c>
      <c r="E18" s="7" t="str">
        <v>Inundación costera</v>
      </c>
      <c r="F18" s="7" t="str">
        <v>Transporte de semiremolques</v>
      </c>
      <c r="G18" s="7" t="str">
        <v>Activo físico</v>
      </c>
      <c r="H18" s="7" t="str">
        <v/>
      </c>
      <c r="I18" s="16" t="str">
        <v/>
      </c>
      <c r="J18" s="16" t="str">
        <v/>
      </c>
      <c r="K18" s="16" t="str">
        <v/>
      </c>
      <c r="L18" s="16" t="str">
        <v/>
      </c>
      <c r="M18" s="16" t="str">
        <v/>
      </c>
      <c r="N18" s="16" t="str">
        <v/>
      </c>
      <c r="O18" s="16" t="str">
        <v/>
      </c>
      <c r="P18" s="16" t="str">
        <v/>
      </c>
    </row>
    <row r="19" spans="1:16" x14ac:dyDescent="0.25">
      <c r="A19" s="16" t="str">
        <v>Inundación</v>
      </c>
      <c r="B19" s="7">
        <v>80</v>
      </c>
      <c r="C19" s="7" t="str">
        <v>ELO</v>
      </c>
      <c r="D19" s="7" t="str">
        <v>Inundación</v>
      </c>
      <c r="E19" s="7" t="str">
        <v>Inundación costera</v>
      </c>
      <c r="F19" s="7" t="str">
        <v>Almacenamiento</v>
      </c>
      <c r="G19" s="7" t="str">
        <v>Activo físico</v>
      </c>
      <c r="H19" s="7" t="str">
        <v/>
      </c>
      <c r="I19" s="16" t="str">
        <v/>
      </c>
      <c r="J19" s="16" t="str">
        <v/>
      </c>
      <c r="K19" s="16" t="str">
        <v/>
      </c>
      <c r="L19" s="16" t="str">
        <v/>
      </c>
      <c r="M19" s="16" t="str">
        <v/>
      </c>
      <c r="N19" s="16" t="str">
        <v/>
      </c>
      <c r="O19" s="16" t="str">
        <v/>
      </c>
      <c r="P19" s="16" t="str">
        <v/>
      </c>
    </row>
    <row r="20" spans="1:16" x14ac:dyDescent="0.25">
      <c r="A20" s="16" t="str">
        <v>Inundación</v>
      </c>
      <c r="B20" s="7">
        <v>81</v>
      </c>
      <c r="C20" s="7" t="str">
        <v>ELO</v>
      </c>
      <c r="D20" s="7" t="str">
        <v>Inundación</v>
      </c>
      <c r="E20" s="7" t="str">
        <v>Inundación costera</v>
      </c>
      <c r="F20" s="7" t="str">
        <v>Grúa de muelle</v>
      </c>
      <c r="G20" s="7" t="str">
        <v>Activo físico</v>
      </c>
      <c r="H20" s="7" t="str">
        <v/>
      </c>
      <c r="I20" s="16" t="str">
        <v/>
      </c>
      <c r="J20" s="16" t="str">
        <v/>
      </c>
      <c r="K20" s="16" t="str">
        <v/>
      </c>
      <c r="L20" s="16" t="str">
        <v/>
      </c>
      <c r="M20" s="16" t="str">
        <v/>
      </c>
      <c r="N20" s="16" t="str">
        <v/>
      </c>
      <c r="O20" s="16" t="str">
        <v/>
      </c>
      <c r="P20" s="16" t="str">
        <v/>
      </c>
    </row>
    <row r="21" spans="1:16" x14ac:dyDescent="0.25">
      <c r="A21" s="16" t="str">
        <v>Inundación</v>
      </c>
      <c r="B21" s="7">
        <v>83</v>
      </c>
      <c r="C21" s="7" t="str">
        <v>ELO</v>
      </c>
      <c r="D21" s="7" t="str">
        <v>Inundación</v>
      </c>
      <c r="E21" s="7" t="str">
        <v>Inundación costera</v>
      </c>
      <c r="F21" s="7" t="str">
        <v>Campa y aparcamiento</v>
      </c>
      <c r="G21" s="7" t="str">
        <v>Activo físico</v>
      </c>
      <c r="H21" s="7" t="str">
        <v/>
      </c>
      <c r="I21" s="16" t="str">
        <v/>
      </c>
      <c r="J21" s="16" t="str">
        <v/>
      </c>
      <c r="K21" s="16" t="str">
        <v/>
      </c>
      <c r="L21" s="16" t="str">
        <v/>
      </c>
      <c r="M21" s="16" t="str">
        <v/>
      </c>
      <c r="N21" s="16" t="str">
        <v/>
      </c>
      <c r="O21" s="16" t="str">
        <v/>
      </c>
      <c r="P21" s="16" t="str">
        <v/>
      </c>
    </row>
    <row r="22" spans="1:16" x14ac:dyDescent="0.25">
      <c r="A22" s="16" t="str">
        <v>Inundación</v>
      </c>
      <c r="B22" s="7">
        <v>86</v>
      </c>
      <c r="C22" s="7" t="str">
        <v>ELO</v>
      </c>
      <c r="D22" s="7" t="str">
        <v>Inundación</v>
      </c>
      <c r="E22" s="7" t="str">
        <v>Inundación costera</v>
      </c>
      <c r="F22" s="7" t="str">
        <v>Estación marítima</v>
      </c>
      <c r="G22" s="7" t="str">
        <v>Activo físico</v>
      </c>
      <c r="H22" s="7" t="str">
        <v/>
      </c>
      <c r="I22" s="16" t="str">
        <v/>
      </c>
      <c r="J22" s="16" t="str">
        <v/>
      </c>
      <c r="K22" s="16" t="str">
        <v/>
      </c>
      <c r="L22" s="16" t="str">
        <v/>
      </c>
      <c r="M22" s="16" t="str">
        <v/>
      </c>
      <c r="N22" s="16" t="str">
        <v/>
      </c>
      <c r="O22" s="16" t="str">
        <v/>
      </c>
      <c r="P22" s="16" t="str">
        <v/>
      </c>
    </row>
    <row r="23" spans="1:16" x14ac:dyDescent="0.25">
      <c r="A23" s="16" t="str">
        <v>Inundación</v>
      </c>
      <c r="B23" s="7">
        <v>87</v>
      </c>
      <c r="C23" s="7" t="str">
        <v>ELO</v>
      </c>
      <c r="D23" s="7" t="str">
        <v>Inundación</v>
      </c>
      <c r="E23" s="7" t="str">
        <v>Inundación costera</v>
      </c>
      <c r="F23" s="7" t="str">
        <v>Suministros al pesquero (agua, combustible y hielo)</v>
      </c>
      <c r="G23" s="7" t="str">
        <v>Operacional (servicios)</v>
      </c>
      <c r="H23" s="7" t="str">
        <v/>
      </c>
      <c r="I23" s="16" t="str">
        <v/>
      </c>
      <c r="J23" s="16" t="str">
        <v/>
      </c>
      <c r="K23" s="16" t="str">
        <v/>
      </c>
      <c r="L23" s="16" t="str">
        <v/>
      </c>
      <c r="M23" s="16" t="str">
        <v/>
      </c>
      <c r="N23" s="16" t="str">
        <v/>
      </c>
      <c r="O23" s="16" t="str">
        <v/>
      </c>
      <c r="P23" s="16" t="str">
        <v/>
      </c>
    </row>
    <row r="24" spans="1:16" x14ac:dyDescent="0.25">
      <c r="A24" s="16" t="str">
        <v>Inundación</v>
      </c>
      <c r="B24" s="7">
        <v>89</v>
      </c>
      <c r="C24" s="7" t="str">
        <v>ELO</v>
      </c>
      <c r="D24" s="7" t="str">
        <v>Inundación</v>
      </c>
      <c r="E24" s="7" t="str">
        <v>Inundación costera</v>
      </c>
      <c r="F24" s="7" t="str">
        <v>Lonja</v>
      </c>
      <c r="G24" s="7" t="str">
        <v>Activo físico</v>
      </c>
      <c r="H24" s="7" t="str">
        <v/>
      </c>
      <c r="I24" s="16" t="str">
        <v/>
      </c>
      <c r="J24" s="16" t="str">
        <v/>
      </c>
      <c r="K24" s="16" t="str">
        <v/>
      </c>
      <c r="L24" s="16" t="str">
        <v/>
      </c>
      <c r="M24" s="16" t="str">
        <v/>
      </c>
      <c r="N24" s="16" t="str">
        <v/>
      </c>
      <c r="O24" s="16" t="str">
        <v/>
      </c>
      <c r="P24" s="16" t="str">
        <v/>
      </c>
    </row>
    <row r="25" spans="1:16" x14ac:dyDescent="0.25">
      <c r="A25" s="16" t="str">
        <v>Inundación</v>
      </c>
      <c r="B25" s="7">
        <v>91</v>
      </c>
      <c r="C25" s="7" t="str">
        <v>ELO</v>
      </c>
      <c r="D25" s="7" t="str">
        <v>Inundación</v>
      </c>
      <c r="E25" s="7" t="str">
        <v>Inundación costera</v>
      </c>
      <c r="F25" s="7" t="str">
        <v>Servicio de marinas y puertos deportivos</v>
      </c>
      <c r="G25" s="7" t="str">
        <v>Operacional (servicios)</v>
      </c>
      <c r="H25" s="7" t="str">
        <v/>
      </c>
      <c r="I25" s="16" t="str">
        <v/>
      </c>
      <c r="J25" s="16" t="str">
        <v/>
      </c>
      <c r="K25" s="16" t="str">
        <v/>
      </c>
      <c r="L25" s="16" t="str">
        <v/>
      </c>
      <c r="M25" s="16" t="str">
        <v/>
      </c>
      <c r="N25" s="16" t="str">
        <v/>
      </c>
      <c r="O25" s="16" t="str">
        <v/>
      </c>
      <c r="P25" s="16" t="str">
        <v/>
      </c>
    </row>
    <row r="26" spans="1:16" x14ac:dyDescent="0.25">
      <c r="A26" s="16" t="str">
        <v>Inundación</v>
      </c>
      <c r="B26" s="7">
        <v>92</v>
      </c>
      <c r="C26" s="7" t="str">
        <v>ELO</v>
      </c>
      <c r="D26" s="7" t="str">
        <v>Inundación</v>
      </c>
      <c r="E26" s="7" t="str">
        <v>Inundación costera</v>
      </c>
      <c r="F26" s="7" t="str">
        <v>Equipamientos culturales o deportivos</v>
      </c>
      <c r="G26" s="7" t="str">
        <v>Activo físico</v>
      </c>
      <c r="H26" s="7" t="str">
        <v/>
      </c>
      <c r="I26" s="16" t="str">
        <v/>
      </c>
      <c r="J26" s="16" t="str">
        <v/>
      </c>
      <c r="K26" s="16" t="str">
        <v/>
      </c>
      <c r="L26" s="16" t="str">
        <v/>
      </c>
      <c r="M26" s="16" t="str">
        <v/>
      </c>
      <c r="N26" s="16" t="str">
        <v/>
      </c>
      <c r="O26" s="16" t="str">
        <v/>
      </c>
      <c r="P26" s="16" t="str">
        <v/>
      </c>
    </row>
    <row r="27" spans="1:16" x14ac:dyDescent="0.25">
      <c r="A27" s="16" t="str">
        <v>Inundación</v>
      </c>
      <c r="B27" s="7">
        <v>102</v>
      </c>
      <c r="C27" s="7" t="str">
        <v>ELS</v>
      </c>
      <c r="D27" s="7" t="str">
        <v>Inundación</v>
      </c>
      <c r="E27" s="7" t="str">
        <v>Inundación costera</v>
      </c>
      <c r="F27" s="7" t="str">
        <v>Superficies</v>
      </c>
      <c r="G27" s="7" t="str">
        <v>Activo físico</v>
      </c>
      <c r="H27" s="7" t="str">
        <v/>
      </c>
      <c r="I27" s="16" t="str">
        <v/>
      </c>
      <c r="J27" s="16" t="str">
        <v/>
      </c>
      <c r="K27" s="16" t="str">
        <v/>
      </c>
      <c r="L27" s="16" t="str">
        <v/>
      </c>
      <c r="M27" s="16" t="str">
        <v/>
      </c>
      <c r="N27" s="16" t="str">
        <v/>
      </c>
      <c r="O27" s="16" t="str">
        <v/>
      </c>
      <c r="P27" s="16" t="str">
        <v/>
      </c>
    </row>
    <row r="28" spans="1:16" x14ac:dyDescent="0.25">
      <c r="A28" s="16" t="str">
        <v>Inundación</v>
      </c>
      <c r="B28" s="5">
        <v>103</v>
      </c>
      <c r="C28" s="5" t="str">
        <v>ELS</v>
      </c>
      <c r="D28" s="5" t="str">
        <v>Inundación</v>
      </c>
      <c r="E28" s="5" t="str">
        <v>Inundación costera</v>
      </c>
      <c r="F28" s="5" t="str">
        <v>Pavimentos</v>
      </c>
      <c r="G28" s="5" t="str">
        <v>Activo físico</v>
      </c>
      <c r="H28" s="5" t="str">
        <v/>
      </c>
      <c r="I28" s="16" t="str">
        <v/>
      </c>
      <c r="J28" s="16" t="str">
        <v/>
      </c>
      <c r="K28" s="16" t="str">
        <v/>
      </c>
      <c r="L28" s="16" t="str">
        <v/>
      </c>
      <c r="M28" s="16" t="str">
        <v/>
      </c>
      <c r="N28" s="16" t="str">
        <v/>
      </c>
      <c r="O28" s="16" t="str">
        <v/>
      </c>
      <c r="P28" s="16" t="str">
        <v/>
      </c>
    </row>
    <row r="29" spans="1:16" x14ac:dyDescent="0.25">
      <c r="A29" s="16" t="str">
        <v>Inundación</v>
      </c>
      <c r="B29" s="5">
        <v>105</v>
      </c>
      <c r="C29" s="5" t="str">
        <v>ELS</v>
      </c>
      <c r="D29" s="5" t="str">
        <v>Inundación</v>
      </c>
      <c r="E29" s="5" t="str">
        <v>Inundación costera</v>
      </c>
      <c r="F29" s="5" t="str">
        <v>Electricidad</v>
      </c>
      <c r="G29" s="5" t="str">
        <v>Activo físico</v>
      </c>
      <c r="H29" s="5" t="str">
        <v/>
      </c>
      <c r="I29" s="16" t="str">
        <v/>
      </c>
      <c r="J29" s="16" t="str">
        <v/>
      </c>
      <c r="K29" s="16" t="str">
        <v/>
      </c>
      <c r="L29" s="16" t="str">
        <v/>
      </c>
      <c r="M29" s="16" t="str">
        <v/>
      </c>
      <c r="N29" s="16" t="str">
        <v/>
      </c>
      <c r="O29" s="16" t="str">
        <v/>
      </c>
      <c r="P29" s="16" t="str">
        <v/>
      </c>
    </row>
    <row r="30" spans="1:16" x14ac:dyDescent="0.25">
      <c r="A30" s="16" t="str">
        <v>Inundación</v>
      </c>
      <c r="B30" s="5">
        <v>106</v>
      </c>
      <c r="C30" s="5" t="str">
        <v>ELS</v>
      </c>
      <c r="D30" s="5" t="str">
        <v>Inundación</v>
      </c>
      <c r="E30" s="5" t="str">
        <v>Inundación costera</v>
      </c>
      <c r="F30" s="5" t="str">
        <v>Alumbrado</v>
      </c>
      <c r="G30" s="5" t="str">
        <v>Activo físico</v>
      </c>
      <c r="H30" s="5" t="str">
        <v/>
      </c>
      <c r="I30" s="16" t="str">
        <v/>
      </c>
      <c r="J30" s="16" t="str">
        <v/>
      </c>
      <c r="K30" s="16" t="str">
        <v/>
      </c>
      <c r="L30" s="16" t="str">
        <v/>
      </c>
      <c r="M30" s="16" t="str">
        <v/>
      </c>
      <c r="N30" s="16" t="str">
        <v/>
      </c>
      <c r="O30" s="16" t="str">
        <v/>
      </c>
      <c r="P30" s="16" t="str">
        <v/>
      </c>
    </row>
    <row r="31" spans="1:16" x14ac:dyDescent="0.25">
      <c r="A31" s="16" t="str">
        <v>Inundación</v>
      </c>
      <c r="B31" s="5">
        <v>107</v>
      </c>
      <c r="C31" s="5" t="str">
        <v>ELS</v>
      </c>
      <c r="D31" s="5" t="str">
        <v>Inundación</v>
      </c>
      <c r="E31" s="5" t="str">
        <v>Inundación costera</v>
      </c>
      <c r="F31" s="5" t="str">
        <v>Suministro de agua</v>
      </c>
      <c r="G31" s="5" t="str">
        <v>Activo físico</v>
      </c>
      <c r="H31" s="5" t="str">
        <v/>
      </c>
      <c r="I31" s="16" t="str">
        <v/>
      </c>
      <c r="J31" s="16" t="str">
        <v/>
      </c>
      <c r="K31" s="16" t="str">
        <v/>
      </c>
      <c r="L31" s="16" t="str">
        <v/>
      </c>
      <c r="M31" s="16" t="str">
        <v/>
      </c>
      <c r="N31" s="16" t="str">
        <v/>
      </c>
      <c r="O31" s="16" t="str">
        <v/>
      </c>
      <c r="P31" s="16" t="str">
        <v/>
      </c>
    </row>
    <row r="32" spans="1:16" x14ac:dyDescent="0.25">
      <c r="A32" s="16" t="str">
        <v>Inundación</v>
      </c>
      <c r="B32" s="5">
        <v>108</v>
      </c>
      <c r="C32" s="5" t="str">
        <v>ELS</v>
      </c>
      <c r="D32" s="5" t="str">
        <v>Deterioro debido a inundación</v>
      </c>
      <c r="E32" s="5" t="str">
        <v>Inundación costera</v>
      </c>
      <c r="F32" s="5" t="str">
        <v>Drenaje (pluvial)</v>
      </c>
      <c r="G32" s="5" t="str">
        <v>Activo físico</v>
      </c>
      <c r="H32" s="5" t="str">
        <v/>
      </c>
      <c r="I32" s="16" t="str">
        <v/>
      </c>
      <c r="J32" s="16" t="str">
        <v/>
      </c>
      <c r="K32" s="16" t="str">
        <v/>
      </c>
      <c r="L32" s="16" t="str">
        <v/>
      </c>
      <c r="M32" s="16" t="str">
        <v/>
      </c>
      <c r="N32" s="16" t="str">
        <v/>
      </c>
      <c r="O32" s="16" t="str">
        <v/>
      </c>
      <c r="P32" s="16" t="str">
        <v/>
      </c>
    </row>
    <row r="33" spans="1:16" x14ac:dyDescent="0.25">
      <c r="A33" s="16" t="str">
        <v>Inundación</v>
      </c>
      <c r="B33" s="5">
        <v>109</v>
      </c>
      <c r="C33" s="5" t="str">
        <v>ELS</v>
      </c>
      <c r="D33" s="5" t="str">
        <v>Inundación</v>
      </c>
      <c r="E33" s="5" t="str">
        <v>Inundación costera</v>
      </c>
      <c r="F33" s="5" t="str">
        <v>Telecomunicaciones y datos</v>
      </c>
      <c r="G33" s="5" t="str">
        <v>Activo físico</v>
      </c>
      <c r="H33" s="5" t="str">
        <v/>
      </c>
      <c r="I33" s="16" t="str">
        <v/>
      </c>
      <c r="J33" s="16" t="str">
        <v/>
      </c>
      <c r="K33" s="16" t="str">
        <v/>
      </c>
      <c r="L33" s="16" t="str">
        <v/>
      </c>
      <c r="M33" s="16" t="str">
        <v/>
      </c>
      <c r="N33" s="16" t="str">
        <v/>
      </c>
      <c r="O33" s="16" t="str">
        <v/>
      </c>
      <c r="P33" s="16" t="str">
        <v/>
      </c>
    </row>
    <row r="34" spans="1:16" x14ac:dyDescent="0.25">
      <c r="A34" s="16" t="str">
        <v>Inundación</v>
      </c>
      <c r="B34" s="5">
        <v>110</v>
      </c>
      <c r="C34" s="5" t="str">
        <v>ELS</v>
      </c>
      <c r="D34" s="5" t="str">
        <v>Inundación</v>
      </c>
      <c r="E34" s="5" t="str">
        <v>Inundación costera</v>
      </c>
      <c r="F34" s="5" t="str">
        <v>Instalación OPS</v>
      </c>
      <c r="G34" s="5" t="str">
        <v>Activo físico</v>
      </c>
      <c r="H34" s="5" t="str">
        <v/>
      </c>
      <c r="I34" s="16" t="str">
        <v/>
      </c>
      <c r="J34" s="16" t="str">
        <v/>
      </c>
      <c r="K34" s="16" t="str">
        <v/>
      </c>
      <c r="L34" s="16" t="str">
        <v/>
      </c>
      <c r="M34" s="16" t="str">
        <v/>
      </c>
      <c r="N34" s="16" t="str">
        <v/>
      </c>
      <c r="O34" s="16" t="str">
        <v/>
      </c>
      <c r="P34" s="16" t="str">
        <v/>
      </c>
    </row>
    <row r="35" spans="1:16" x14ac:dyDescent="0.25">
      <c r="A35" s="16" t="str">
        <v>Inundación</v>
      </c>
      <c r="B35" s="5">
        <v>111</v>
      </c>
      <c r="C35" s="5" t="str">
        <v>ELS</v>
      </c>
      <c r="D35" s="5" t="str">
        <v>Inundación</v>
      </c>
      <c r="E35" s="5" t="str">
        <v>Inundación costera</v>
      </c>
      <c r="F35" s="5" t="str">
        <v>Accesos ferroviarios y terminales ferroportuarias</v>
      </c>
      <c r="G35" s="5" t="str">
        <v>Activo físico</v>
      </c>
      <c r="H35" s="5" t="str">
        <v/>
      </c>
      <c r="I35" s="16" t="str">
        <v/>
      </c>
      <c r="J35" s="16" t="str">
        <v/>
      </c>
      <c r="K35" s="16" t="str">
        <v/>
      </c>
      <c r="L35" s="16" t="str">
        <v/>
      </c>
      <c r="M35" s="16" t="str">
        <v/>
      </c>
      <c r="N35" s="16" t="str">
        <v/>
      </c>
      <c r="O35" s="16" t="str">
        <v/>
      </c>
      <c r="P35" s="16" t="str">
        <v/>
      </c>
    </row>
    <row r="36" spans="1:16" x14ac:dyDescent="0.25">
      <c r="A36" s="16" t="str">
        <v>Inundación</v>
      </c>
      <c r="B36" s="5">
        <v>113</v>
      </c>
      <c r="C36" s="5" t="str">
        <v>ELS</v>
      </c>
      <c r="D36" s="5" t="str">
        <v>Inundación</v>
      </c>
      <c r="E36" s="5" t="str">
        <v>Inundación costera</v>
      </c>
      <c r="F36" s="5" t="str">
        <v>Accesos viarios</v>
      </c>
      <c r="G36" s="5" t="str">
        <v>Activo físico</v>
      </c>
      <c r="H36" s="5" t="str">
        <v/>
      </c>
      <c r="I36" s="16" t="str">
        <v/>
      </c>
      <c r="J36" s="16" t="str">
        <v/>
      </c>
      <c r="K36" s="16" t="str">
        <v/>
      </c>
      <c r="L36" s="16" t="str">
        <v/>
      </c>
      <c r="M36" s="16" t="str">
        <v/>
      </c>
      <c r="N36" s="16" t="str">
        <v/>
      </c>
      <c r="O36" s="16" t="str">
        <v/>
      </c>
      <c r="P36" s="16" t="str">
        <v/>
      </c>
    </row>
    <row r="37" spans="1:16" x14ac:dyDescent="0.25">
      <c r="A37" s="16" t="str">
        <v>Inundación</v>
      </c>
      <c r="B37" s="5">
        <v>115</v>
      </c>
      <c r="C37" s="5" t="str">
        <v>ELS</v>
      </c>
      <c r="D37" s="5" t="str">
        <v>Inundación</v>
      </c>
      <c r="E37" s="5" t="str">
        <v>Inundación costera</v>
      </c>
      <c r="F37" s="5" t="str">
        <v>Edificios de servicios generales (Oficinas, Aduanas, PIF, Control de accesos, etc.)</v>
      </c>
      <c r="G37" s="5" t="str">
        <v>Activo físico</v>
      </c>
      <c r="H37" s="5" t="str">
        <v/>
      </c>
      <c r="I37" s="16" t="str">
        <v/>
      </c>
      <c r="J37" s="16" t="str">
        <v/>
      </c>
      <c r="K37" s="16" t="str">
        <v/>
      </c>
      <c r="L37" s="16" t="str">
        <v/>
      </c>
      <c r="M37" s="16" t="str">
        <v/>
      </c>
      <c r="N37" s="16" t="str">
        <v/>
      </c>
      <c r="O37" s="16" t="str">
        <v/>
      </c>
      <c r="P37" s="16" t="str">
        <v/>
      </c>
    </row>
    <row r="38" spans="1:16" x14ac:dyDescent="0.25">
      <c r="A38" s="16" t="str">
        <v>Inundación</v>
      </c>
      <c r="B38" s="5">
        <v>118</v>
      </c>
      <c r="C38" s="5" t="str">
        <v>ELS</v>
      </c>
      <c r="D38" s="5" t="str">
        <v>Inundación</v>
      </c>
      <c r="E38" s="5" t="str">
        <v>Inundación costera</v>
      </c>
      <c r="F38" s="5" t="str">
        <v>Zonas de Actividad Logística</v>
      </c>
      <c r="G38" s="5" t="str">
        <v>Activo físico</v>
      </c>
      <c r="H38" s="5" t="str">
        <v/>
      </c>
      <c r="I38" s="16" t="str">
        <v/>
      </c>
      <c r="J38" s="16" t="str">
        <v/>
      </c>
      <c r="K38" s="16" t="str">
        <v/>
      </c>
      <c r="L38" s="16" t="str">
        <v/>
      </c>
      <c r="M38" s="16" t="str">
        <v/>
      </c>
      <c r="N38" s="16" t="str">
        <v/>
      </c>
      <c r="O38" s="16" t="str">
        <v/>
      </c>
      <c r="P38" s="16" t="str">
        <v/>
      </c>
    </row>
    <row r="39" spans="1:16" x14ac:dyDescent="0.25">
      <c r="A39" s="16" t="str">
        <v>Inundación</v>
      </c>
      <c r="B39" s="5">
        <v>121</v>
      </c>
      <c r="C39" s="5" t="str">
        <v>ELS</v>
      </c>
      <c r="D39" s="5" t="str">
        <v>Inundación</v>
      </c>
      <c r="E39" s="5" t="str">
        <v>Inundación costera</v>
      </c>
      <c r="F39" s="5" t="str">
        <v>Astilleros, diques secos, varaderos</v>
      </c>
      <c r="G39" s="5" t="str">
        <v>Activo físico</v>
      </c>
      <c r="H39" s="5" t="str">
        <v/>
      </c>
      <c r="I39" s="16" t="str">
        <v/>
      </c>
      <c r="J39" s="16" t="str">
        <v/>
      </c>
      <c r="K39" s="16" t="str">
        <v/>
      </c>
      <c r="L39" s="16" t="str">
        <v/>
      </c>
      <c r="M39" s="16" t="str">
        <v/>
      </c>
      <c r="N39" s="16" t="str">
        <v/>
      </c>
      <c r="O39" s="16" t="str">
        <v/>
      </c>
      <c r="P39" s="16" t="str">
        <v/>
      </c>
    </row>
    <row r="40" spans="1:16" x14ac:dyDescent="0.25">
      <c r="A40" s="16" t="str">
        <v>Inundación</v>
      </c>
      <c r="B40" s="5">
        <v>123</v>
      </c>
      <c r="C40" s="5" t="str">
        <v>ELS</v>
      </c>
      <c r="D40" s="5" t="str">
        <v>Daño estructural debido a inundación</v>
      </c>
      <c r="E40" s="5" t="str">
        <v>Inundación costera</v>
      </c>
      <c r="F40" s="5" t="str">
        <v>Sistemas de carga y descarga (Tuberías)</v>
      </c>
      <c r="G40" s="5" t="str">
        <v>Activo físico</v>
      </c>
      <c r="H40" s="5" t="str">
        <v/>
      </c>
      <c r="I40" s="16" t="str">
        <v/>
      </c>
      <c r="J40" s="16" t="str">
        <v/>
      </c>
      <c r="K40" s="16" t="str">
        <v/>
      </c>
      <c r="L40" s="16" t="str">
        <v/>
      </c>
      <c r="M40" s="16" t="str">
        <v/>
      </c>
      <c r="N40" s="16" t="str">
        <v/>
      </c>
      <c r="O40" s="16" t="str">
        <v/>
      </c>
      <c r="P40" s="16" t="str">
        <v/>
      </c>
    </row>
    <row r="41" spans="1:16" x14ac:dyDescent="0.25">
      <c r="A41" s="16" t="str">
        <v>Inundación</v>
      </c>
      <c r="B41" s="5">
        <v>125</v>
      </c>
      <c r="C41" s="5" t="str">
        <v>ELS</v>
      </c>
      <c r="D41" s="5" t="str">
        <v>Inundación</v>
      </c>
      <c r="E41" s="5" t="str">
        <v>Inundación costera</v>
      </c>
      <c r="F41" s="5" t="str">
        <v>Medios de carga/descarga</v>
      </c>
      <c r="G41" s="5" t="str">
        <v>Activo físico</v>
      </c>
      <c r="H41" s="5" t="str">
        <v/>
      </c>
      <c r="I41" s="16" t="str">
        <v/>
      </c>
      <c r="J41" s="16" t="str">
        <v/>
      </c>
      <c r="K41" s="16" t="str">
        <v/>
      </c>
      <c r="L41" s="16" t="str">
        <v/>
      </c>
      <c r="M41" s="16" t="str">
        <v/>
      </c>
      <c r="N41" s="16" t="str">
        <v/>
      </c>
      <c r="O41" s="16" t="str">
        <v/>
      </c>
      <c r="P41" s="16" t="str">
        <v/>
      </c>
    </row>
    <row r="42" spans="1:16" x14ac:dyDescent="0.25">
      <c r="A42" s="16" t="str">
        <v>Inundación</v>
      </c>
      <c r="B42" s="5">
        <v>127</v>
      </c>
      <c r="C42" s="5" t="str">
        <v>ELS</v>
      </c>
      <c r="D42" s="5" t="str">
        <v>Inundación</v>
      </c>
      <c r="E42" s="5" t="str">
        <v>Inundación costera</v>
      </c>
      <c r="F42" s="5" t="str">
        <v>Tolvas y cintas transportadoras</v>
      </c>
      <c r="G42" s="5" t="str">
        <v>Activo físico</v>
      </c>
      <c r="H42" s="5" t="str">
        <v/>
      </c>
      <c r="I42" s="16" t="str">
        <v/>
      </c>
      <c r="J42" s="16" t="str">
        <v/>
      </c>
      <c r="K42" s="16" t="str">
        <v/>
      </c>
      <c r="L42" s="16" t="str">
        <v/>
      </c>
      <c r="M42" s="16" t="str">
        <v/>
      </c>
      <c r="N42" s="16" t="str">
        <v/>
      </c>
      <c r="O42" s="16" t="str">
        <v/>
      </c>
      <c r="P42" s="16" t="str">
        <v/>
      </c>
    </row>
    <row r="43" spans="1:16" x14ac:dyDescent="0.25">
      <c r="A43" s="16" t="str">
        <v>Inundación</v>
      </c>
      <c r="B43" s="5">
        <v>129</v>
      </c>
      <c r="C43" s="5" t="str">
        <v>ELS</v>
      </c>
      <c r="D43" s="5" t="str">
        <v>Inundación</v>
      </c>
      <c r="E43" s="5" t="str">
        <v>Inundación costera</v>
      </c>
      <c r="F43" s="5" t="str">
        <v>Depósito /Almacenamiento</v>
      </c>
      <c r="G43" s="5" t="str">
        <v>Activo físico</v>
      </c>
      <c r="H43" s="5" t="str">
        <v/>
      </c>
      <c r="I43" s="16" t="str">
        <v/>
      </c>
      <c r="J43" s="16" t="str">
        <v/>
      </c>
      <c r="K43" s="16" t="str">
        <v/>
      </c>
      <c r="L43" s="16" t="str">
        <v/>
      </c>
      <c r="M43" s="16" t="str">
        <v/>
      </c>
      <c r="N43" s="16" t="str">
        <v/>
      </c>
      <c r="O43" s="16" t="str">
        <v/>
      </c>
      <c r="P43" s="16" t="str">
        <v/>
      </c>
    </row>
    <row r="44" spans="1:16" x14ac:dyDescent="0.25">
      <c r="A44" s="16" t="str">
        <v>Inundación</v>
      </c>
      <c r="B44" s="5">
        <v>133</v>
      </c>
      <c r="C44" s="5" t="str">
        <v>ELS</v>
      </c>
      <c r="D44" s="5" t="str">
        <v>Inundación</v>
      </c>
      <c r="E44" s="5" t="str">
        <v>Inundación costera</v>
      </c>
      <c r="F44" s="5" t="str">
        <v>Maquinaria de patio</v>
      </c>
      <c r="G44" s="5" t="str">
        <v>Activo físico</v>
      </c>
      <c r="H44" s="5" t="str">
        <v/>
      </c>
      <c r="I44" s="16" t="str">
        <v/>
      </c>
      <c r="J44" s="16" t="str">
        <v/>
      </c>
      <c r="K44" s="16" t="str">
        <v/>
      </c>
      <c r="L44" s="16" t="str">
        <v/>
      </c>
      <c r="M44" s="16" t="str">
        <v/>
      </c>
      <c r="N44" s="16" t="str">
        <v/>
      </c>
      <c r="O44" s="16" t="str">
        <v/>
      </c>
      <c r="P44" s="16" t="str">
        <v/>
      </c>
    </row>
    <row r="45" spans="1:16" x14ac:dyDescent="0.25">
      <c r="A45" s="16" t="str">
        <v>Inundación</v>
      </c>
      <c r="B45" s="5">
        <v>135</v>
      </c>
      <c r="C45" s="5" t="str">
        <v>ELS</v>
      </c>
      <c r="D45" s="5" t="str">
        <v>Inundación</v>
      </c>
      <c r="E45" s="5" t="str">
        <v>Inundación costera</v>
      </c>
      <c r="F45" s="5" t="str">
        <v>Transporte de semiremolques</v>
      </c>
      <c r="G45" s="5" t="str">
        <v>Activo físico</v>
      </c>
      <c r="H45" s="5" t="str">
        <v/>
      </c>
      <c r="I45" s="16" t="str">
        <v/>
      </c>
      <c r="J45" s="16" t="str">
        <v/>
      </c>
      <c r="K45" s="16" t="str">
        <v/>
      </c>
      <c r="L45" s="16" t="str">
        <v/>
      </c>
      <c r="M45" s="16" t="str">
        <v/>
      </c>
      <c r="N45" s="16" t="str">
        <v/>
      </c>
      <c r="O45" s="16" t="str">
        <v/>
      </c>
      <c r="P45" s="16" t="str">
        <v/>
      </c>
    </row>
    <row r="46" spans="1:16" x14ac:dyDescent="0.25">
      <c r="A46" s="16" t="str">
        <v>Inundación</v>
      </c>
      <c r="B46" s="5">
        <v>136</v>
      </c>
      <c r="C46" s="5" t="str">
        <v>ELS</v>
      </c>
      <c r="D46" s="5" t="str">
        <v>Inundación</v>
      </c>
      <c r="E46" s="5" t="str">
        <v>Inundación costera</v>
      </c>
      <c r="F46" s="5" t="str">
        <v>Almacenamiento</v>
      </c>
      <c r="G46" s="5" t="str">
        <v>Activo físico</v>
      </c>
      <c r="H46" s="5" t="str">
        <v/>
      </c>
      <c r="I46" s="16" t="str">
        <v/>
      </c>
      <c r="J46" s="16" t="str">
        <v/>
      </c>
      <c r="K46" s="16" t="str">
        <v/>
      </c>
      <c r="L46" s="16" t="str">
        <v/>
      </c>
      <c r="M46" s="16" t="str">
        <v/>
      </c>
      <c r="N46" s="16" t="str">
        <v/>
      </c>
      <c r="O46" s="16" t="str">
        <v/>
      </c>
      <c r="P46" s="16" t="str">
        <v/>
      </c>
    </row>
    <row r="47" spans="1:16" x14ac:dyDescent="0.25">
      <c r="A47" s="16" t="str">
        <v>Inundación</v>
      </c>
      <c r="B47" s="5">
        <v>137</v>
      </c>
      <c r="C47" s="5" t="str">
        <v>ELS</v>
      </c>
      <c r="D47" s="5" t="str">
        <v>Inundación</v>
      </c>
      <c r="E47" s="5" t="str">
        <v>Inundación costera</v>
      </c>
      <c r="F47" s="5" t="str">
        <v>Campa y aparcamiento</v>
      </c>
      <c r="G47" s="5" t="str">
        <v>Activo físico</v>
      </c>
      <c r="H47" s="5" t="str">
        <v/>
      </c>
      <c r="I47" s="16" t="str">
        <v/>
      </c>
      <c r="J47" s="16" t="str">
        <v/>
      </c>
      <c r="K47" s="16" t="str">
        <v/>
      </c>
      <c r="L47" s="16" t="str">
        <v/>
      </c>
      <c r="M47" s="16" t="str">
        <v/>
      </c>
      <c r="N47" s="16" t="str">
        <v/>
      </c>
      <c r="O47" s="16" t="str">
        <v/>
      </c>
      <c r="P47" s="16" t="str">
        <v/>
      </c>
    </row>
    <row r="48" spans="1:16" x14ac:dyDescent="0.25">
      <c r="A48" s="16" t="str">
        <v>Inundación</v>
      </c>
      <c r="B48" s="5">
        <v>139</v>
      </c>
      <c r="C48" s="5" t="str">
        <v>ELS</v>
      </c>
      <c r="D48" s="5" t="str">
        <v>Inundación</v>
      </c>
      <c r="E48" s="5" t="str">
        <v>Inundación costera</v>
      </c>
      <c r="F48" s="5" t="str">
        <v>Estación marítima</v>
      </c>
      <c r="G48" s="5" t="str">
        <v>Activo físico</v>
      </c>
      <c r="H48" s="5" t="str">
        <v/>
      </c>
      <c r="I48" s="16" t="str">
        <v/>
      </c>
      <c r="J48" s="16" t="str">
        <v/>
      </c>
      <c r="K48" s="16" t="str">
        <v/>
      </c>
      <c r="L48" s="16" t="str">
        <v/>
      </c>
      <c r="M48" s="16" t="str">
        <v/>
      </c>
      <c r="N48" s="16" t="str">
        <v/>
      </c>
      <c r="O48" s="16" t="str">
        <v/>
      </c>
      <c r="P48" s="16" t="str">
        <v/>
      </c>
    </row>
    <row r="49" spans="1:16" x14ac:dyDescent="0.25">
      <c r="A49" s="16" t="str">
        <v>Inundación</v>
      </c>
      <c r="B49" s="5">
        <v>141</v>
      </c>
      <c r="C49" s="5" t="str">
        <v>ELS</v>
      </c>
      <c r="D49" s="5" t="str">
        <v>Inundación</v>
      </c>
      <c r="E49" s="5" t="str">
        <v>Inundación costera</v>
      </c>
      <c r="F49" s="5" t="str">
        <v>Lonja</v>
      </c>
      <c r="G49" s="5" t="str">
        <v>Activo físico</v>
      </c>
      <c r="H49" s="5" t="str">
        <v/>
      </c>
      <c r="I49" s="16" t="str">
        <v/>
      </c>
      <c r="J49" s="16" t="str">
        <v/>
      </c>
      <c r="K49" s="16" t="str">
        <v/>
      </c>
      <c r="L49" s="16" t="str">
        <v/>
      </c>
      <c r="M49" s="16" t="str">
        <v/>
      </c>
      <c r="N49" s="16" t="str">
        <v/>
      </c>
      <c r="O49" s="16" t="str">
        <v/>
      </c>
      <c r="P49" s="16" t="str">
        <v/>
      </c>
    </row>
    <row r="50" spans="1:16" x14ac:dyDescent="0.25">
      <c r="A50" s="16" t="str">
        <v>Inundación</v>
      </c>
      <c r="B50" s="5">
        <v>144</v>
      </c>
      <c r="C50" s="5" t="str">
        <v>ELS</v>
      </c>
      <c r="D50" s="5" t="str">
        <v>Inundación</v>
      </c>
      <c r="E50" s="5" t="str">
        <v>Inundación costera</v>
      </c>
      <c r="F50" s="5" t="str">
        <v>Servicio de marinas y puertos deportivos</v>
      </c>
      <c r="G50" s="5" t="str">
        <v>Operacional (servicios)</v>
      </c>
      <c r="H50" s="5" t="str">
        <v/>
      </c>
      <c r="I50" s="16" t="str">
        <v/>
      </c>
      <c r="J50" s="16" t="str">
        <v/>
      </c>
      <c r="K50" s="16" t="str">
        <v/>
      </c>
      <c r="L50" s="16" t="str">
        <v/>
      </c>
      <c r="M50" s="16" t="str">
        <v/>
      </c>
      <c r="N50" s="16" t="str">
        <v/>
      </c>
      <c r="O50" s="16" t="str">
        <v/>
      </c>
      <c r="P50" s="16" t="str">
        <v/>
      </c>
    </row>
    <row r="51" spans="1:16" x14ac:dyDescent="0.25">
      <c r="A51" s="16" t="str">
        <v>Inundación</v>
      </c>
      <c r="B51" s="5">
        <v>146</v>
      </c>
      <c r="C51" s="5" t="str">
        <v>ELS</v>
      </c>
      <c r="D51" s="5" t="str">
        <v>Inundación</v>
      </c>
      <c r="E51" s="5" t="str">
        <v>Inundación costera</v>
      </c>
      <c r="F51" s="5" t="str">
        <v>Accesos peatonales, Paseo marítimo y carril bici</v>
      </c>
      <c r="G51" s="5" t="str">
        <v>Activo físico</v>
      </c>
      <c r="H51" s="5" t="str">
        <v/>
      </c>
      <c r="I51" s="16" t="str">
        <v/>
      </c>
      <c r="J51" s="16" t="str">
        <v/>
      </c>
      <c r="K51" s="16" t="str">
        <v/>
      </c>
      <c r="L51" s="16" t="str">
        <v/>
      </c>
      <c r="M51" s="16" t="str">
        <v/>
      </c>
      <c r="N51" s="16" t="str">
        <v/>
      </c>
      <c r="O51" s="16" t="str">
        <v/>
      </c>
      <c r="P51" s="16" t="str">
        <v/>
      </c>
    </row>
    <row r="52" spans="1:16" x14ac:dyDescent="0.25">
      <c r="A52" s="16" t="str">
        <v>Inundación</v>
      </c>
      <c r="B52" s="5">
        <v>148</v>
      </c>
      <c r="C52" s="5" t="str">
        <v>ELS</v>
      </c>
      <c r="D52" s="5" t="str">
        <v>Inundación</v>
      </c>
      <c r="E52" s="5" t="str">
        <v>Inundación costera</v>
      </c>
      <c r="F52" s="5" t="str">
        <v>Zona de ocio</v>
      </c>
      <c r="G52" s="5" t="str">
        <v>Activo físico</v>
      </c>
      <c r="H52" s="5" t="str">
        <v/>
      </c>
      <c r="I52" s="16" t="str">
        <v/>
      </c>
      <c r="J52" s="16" t="str">
        <v/>
      </c>
      <c r="K52" s="16" t="str">
        <v/>
      </c>
      <c r="L52" s="16" t="str">
        <v/>
      </c>
      <c r="M52" s="16" t="str">
        <v/>
      </c>
      <c r="N52" s="16" t="str">
        <v/>
      </c>
      <c r="O52" s="16" t="str">
        <v/>
      </c>
      <c r="P52" s="16" t="str">
        <v/>
      </c>
    </row>
    <row r="53" spans="1:16" x14ac:dyDescent="0.25">
      <c r="A53" s="16" t="str">
        <v>Inundación</v>
      </c>
      <c r="B53" s="5">
        <v>149</v>
      </c>
      <c r="C53" s="5" t="str">
        <v>ELS</v>
      </c>
      <c r="D53" s="5" t="str">
        <v>Inundación</v>
      </c>
      <c r="E53" s="5" t="str">
        <v>Inundación costera</v>
      </c>
      <c r="F53" s="5" t="str">
        <v>Equipamientos culturales o deportivos</v>
      </c>
      <c r="G53" s="5" t="str">
        <v>Activo físico</v>
      </c>
      <c r="H53" s="5" t="str">
        <v/>
      </c>
      <c r="I53" s="16" t="str">
        <v/>
      </c>
      <c r="J53" s="16" t="str">
        <v/>
      </c>
      <c r="K53" s="16" t="str">
        <v/>
      </c>
      <c r="L53" s="16" t="str">
        <v/>
      </c>
      <c r="M53" s="16" t="str">
        <v/>
      </c>
      <c r="N53" s="16" t="str">
        <v/>
      </c>
      <c r="O53" s="16" t="str">
        <v/>
      </c>
      <c r="P53" s="16" t="str">
        <v/>
      </c>
    </row>
    <row r="54" spans="1:16" x14ac:dyDescent="0.25">
      <c r="A54" s="16"/>
      <c r="B54" s="5"/>
      <c r="C54" s="5"/>
      <c r="D54" s="5"/>
      <c r="E54" s="5"/>
      <c r="F54" s="5"/>
      <c r="G54" s="5"/>
      <c r="H54" s="5"/>
      <c r="I54" s="16"/>
      <c r="J54" s="16"/>
      <c r="K54" s="16"/>
      <c r="L54" s="16"/>
      <c r="M54" s="16"/>
      <c r="N54" s="16"/>
      <c r="O54" s="16"/>
      <c r="P54" s="16"/>
    </row>
  </sheetData>
  <pageMargins left="0.7" right="0.7" top="0.75" bottom="0.75" header="0.3" footer="0.3"/>
  <pageSetup paperSize="9" scale="5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3A3E-5EB4-4927-A783-A7E967DFC689}">
  <dimension ref="A1:P3"/>
  <sheetViews>
    <sheetView view="pageBreakPreview" zoomScale="145" zoomScaleNormal="100" zoomScaleSheetLayoutView="145" workbookViewId="0">
      <selection activeCell="H1" sqref="H1"/>
    </sheetView>
  </sheetViews>
  <sheetFormatPr baseColWidth="10" defaultRowHeight="15" x14ac:dyDescent="0.25"/>
  <cols>
    <col min="1" max="1" width="12.5703125" bestFit="1" customWidth="1"/>
    <col min="2" max="2" width="3.5703125" bestFit="1" customWidth="1"/>
    <col min="3" max="3" width="15.140625" bestFit="1" customWidth="1"/>
    <col min="4" max="4" width="31.85546875" bestFit="1" customWidth="1"/>
    <col min="5" max="5" width="12.5703125" bestFit="1" customWidth="1"/>
    <col min="6" max="6" width="25.28515625" bestFit="1" customWidth="1"/>
    <col min="7" max="7" width="21.5703125" bestFit="1" customWidth="1"/>
    <col min="8" max="8" width="20.5703125" bestFit="1" customWidth="1"/>
    <col min="9" max="10" width="9" bestFit="1" customWidth="1"/>
    <col min="12" max="12" width="48.28515625" bestFit="1" customWidth="1"/>
    <col min="13" max="14" width="9.42578125" bestFit="1" customWidth="1"/>
    <col min="15" max="15" width="17.42578125" bestFit="1" customWidth="1"/>
    <col min="16" max="16" width="13.5703125" bestFit="1" customWidth="1"/>
  </cols>
  <sheetData>
    <row r="1" spans="1:16" ht="45" x14ac:dyDescent="0.25">
      <c r="A1" s="19" t="s">
        <v>121</v>
      </c>
      <c r="B1" s="9" t="s">
        <v>110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tr">
        <f>+_xlfn.CONCAT('ListRelacion impactos-indicador'!$H$1, " (",'ListRelacion impactos-indicador'!$G$64,")")</f>
        <v>Umbral General (mm)</v>
      </c>
      <c r="I1" s="12" t="s">
        <v>101</v>
      </c>
      <c r="J1" s="12" t="s">
        <v>102</v>
      </c>
      <c r="K1" s="12" t="s">
        <v>103</v>
      </c>
      <c r="L1" s="11" t="s">
        <v>104</v>
      </c>
      <c r="M1" s="12" t="s">
        <v>105</v>
      </c>
      <c r="N1" s="12" t="s">
        <v>106</v>
      </c>
      <c r="O1" s="11" t="s">
        <v>107</v>
      </c>
      <c r="P1" s="11" t="s">
        <v>108</v>
      </c>
    </row>
    <row r="2" spans="1:16" x14ac:dyDescent="0.25">
      <c r="A2" s="16" t="str" cm="1">
        <f t="array" ref="A2:A3">_xlfn._xlws.FILTER(IF(B2:B176&lt;&gt;"","Precipitación",""),B2:B176&lt;&gt;"")</f>
        <v>Precipitación</v>
      </c>
      <c r="B2" s="5" cm="1">
        <f t="array" ref="B2:B3">_xlfn._xlws.FILTER('ListRelacion impactos-indicador'!A2:A182,'ListRelacion impactos-indicador'!$D$2:$D$182="Precipitación","")</f>
        <v>63</v>
      </c>
      <c r="C2" s="5" t="str" cm="1">
        <f t="array" ref="C2:C3">_xlfn._xlws.FILTER('ListRelacion impactos-indicador'!B2:B182,'ListRelacion impactos-indicador'!$D$2:$D$182="Precipitación","")</f>
        <v>ELO</v>
      </c>
      <c r="D2" s="5" t="str" cm="1">
        <f t="array" ref="D2:D3">_xlfn._xlws.FILTER('ListRelacion impactos-indicador'!C2:C182,'ListRelacion impactos-indicador'!$D$2:$D$182="Precipitación","")</f>
        <v>Exceso de precipitación</v>
      </c>
      <c r="E2" s="5" t="str" cm="1">
        <f t="array" ref="E2:E3">_xlfn._xlws.FILTER('ListRelacion impactos-indicador'!D2:D182,'ListRelacion impactos-indicador'!$D$2:$D$182="Precipitación","")</f>
        <v>Precipitación</v>
      </c>
      <c r="F2" s="5" t="str" cm="1">
        <f t="array" ref="F2:F3">_xlfn._xlws.FILTER('ListRelacion impactos-indicador'!E2:E182,'ListRelacion impactos-indicador'!$D$2:$D$182="Precipitación","")</f>
        <v>Manipulación de mercancía</v>
      </c>
      <c r="G2" s="5" t="str" cm="1">
        <f t="array" ref="G2:G3">_xlfn._xlws.FILTER('ListRelacion impactos-indicador'!F2:F182,'ListRelacion impactos-indicador'!$D$2:$D$182="Precipitación","")</f>
        <v>Operacional (servicios)</v>
      </c>
      <c r="H2" s="5" t="str" cm="1">
        <f t="array" ref="H2:H3">_xlfn._xlws.FILTER(IF('ListRelacion impactos-indicador'!H2:H182="","",'ListRelacion impactos-indicador'!H2:H182),'ListRelacion impactos-indicador'!$D$2:$D$182="Precipitación","")</f>
        <v/>
      </c>
      <c r="I2" s="5" t="str" cm="1">
        <f t="array" ref="I2:I3">_xlfn._xlws.FILTER(IF('ListRelacion impactos-indicador'!I2:I182="","",'ListRelacion impactos-indicador'!I2:I182),'ListRelacion impactos-indicador'!$D$2:$D$182="Precipitación","")</f>
        <v/>
      </c>
      <c r="J2" s="5" t="str" cm="1">
        <f t="array" ref="J2:J3">_xlfn._xlws.FILTER(IF('ListRelacion impactos-indicador'!J2:J182="","",'ListRelacion impactos-indicador'!J2:J182),'ListRelacion impactos-indicador'!$D$2:$D$182="Precipitación","")</f>
        <v/>
      </c>
      <c r="K2" s="5" t="str" cm="1">
        <f t="array" ref="K2:K3">_xlfn._xlws.FILTER(IF('ListRelacion impactos-indicador'!K2:K182="","",'ListRelacion impactos-indicador'!K2:K182),'ListRelacion impactos-indicador'!$D$2:$D$182="Precipitación","")</f>
        <v/>
      </c>
      <c r="L2" s="5" t="str" cm="1">
        <f t="array" ref="L2:L3">_xlfn._xlws.FILTER(IF('ListRelacion impactos-indicador'!L2:L182="","",'ListRelacion impactos-indicador'!L2:L182),'ListRelacion impactos-indicador'!$D$2:$D$182="Precipitación","")</f>
        <v/>
      </c>
      <c r="M2" s="5" t="str" cm="1">
        <f t="array" ref="M2:M3">_xlfn._xlws.FILTER(IF('ListRelacion impactos-indicador'!M2:M182="","",'ListRelacion impactos-indicador'!M2:M182),'ListRelacion impactos-indicador'!$D$2:$D$182="Precipitación","")</f>
        <v/>
      </c>
      <c r="N2" s="5" t="str" cm="1">
        <f t="array" ref="N2:N3">_xlfn._xlws.FILTER(IF('ListRelacion impactos-indicador'!N2:N182="","",'ListRelacion impactos-indicador'!N2:N182),'ListRelacion impactos-indicador'!$D$2:$D$182="Precipitación","")</f>
        <v/>
      </c>
      <c r="O2" s="5" t="str" cm="1">
        <f t="array" ref="O2:O3">_xlfn._xlws.FILTER(IF('ListRelacion impactos-indicador'!O2:O182="","",'ListRelacion impactos-indicador'!O2:O182),'ListRelacion impactos-indicador'!$D$2:$D$182="Precipitación","")</f>
        <v/>
      </c>
      <c r="P2" s="5" t="str" cm="1">
        <f t="array" ref="P2:P3">_xlfn._xlws.FILTER(IF('ListRelacion impactos-indicador'!P2:P182="","",'ListRelacion impactos-indicador'!P2:P182),'ListRelacion impactos-indicador'!$D$2:$D$182="Precipitación","")</f>
        <v/>
      </c>
    </row>
    <row r="3" spans="1:16" x14ac:dyDescent="0.25">
      <c r="A3" s="16" t="str">
        <v>Precipitación</v>
      </c>
      <c r="B3" s="5">
        <v>66</v>
      </c>
      <c r="C3" s="5" t="str">
        <v>ELO</v>
      </c>
      <c r="D3" s="5" t="str">
        <v>Exceso de precipitación</v>
      </c>
      <c r="E3" s="5" t="str">
        <v>Precipitación</v>
      </c>
      <c r="F3" s="5" t="str">
        <v>Personal del puerto</v>
      </c>
      <c r="G3" s="5" t="str">
        <v>Operacional (servicios)</v>
      </c>
      <c r="H3" s="5" t="str">
        <v/>
      </c>
      <c r="I3" s="16" t="str">
        <v/>
      </c>
      <c r="J3" s="16" t="str">
        <v/>
      </c>
      <c r="K3" s="16" t="str">
        <v/>
      </c>
      <c r="L3" s="16" t="str">
        <v/>
      </c>
      <c r="M3" s="16" t="str">
        <v/>
      </c>
      <c r="N3" s="16" t="str">
        <v/>
      </c>
      <c r="O3" s="16" t="str">
        <v/>
      </c>
      <c r="P3" s="16" t="str">
        <v/>
      </c>
    </row>
  </sheetData>
  <pageMargins left="0.7" right="0.7" top="0.75" bottom="0.75" header="0.3" footer="0.3"/>
  <pageSetup paperSize="9" scale="55" orientation="portrait" r:id="rId1"/>
  <colBreaks count="1" manualBreakCount="1">
    <brk id="5" max="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0F58-4046-4237-ABB7-44B98CC10D0D}">
  <dimension ref="A1:P5"/>
  <sheetViews>
    <sheetView view="pageBreakPreview" zoomScale="130" zoomScaleNormal="100" zoomScaleSheetLayoutView="130" workbookViewId="0">
      <selection activeCell="H2" sqref="H2"/>
    </sheetView>
  </sheetViews>
  <sheetFormatPr baseColWidth="10" defaultRowHeight="15" x14ac:dyDescent="0.25"/>
  <cols>
    <col min="1" max="1" width="8" bestFit="1" customWidth="1"/>
    <col min="2" max="2" width="3.5703125" bestFit="1" customWidth="1"/>
    <col min="3" max="3" width="15.140625" bestFit="1" customWidth="1"/>
    <col min="4" max="4" width="46.42578125" bestFit="1" customWidth="1"/>
    <col min="5" max="5" width="8.42578125" bestFit="1" customWidth="1"/>
    <col min="6" max="6" width="41.42578125" bestFit="1" customWidth="1"/>
    <col min="7" max="7" width="18.42578125" bestFit="1" customWidth="1"/>
    <col min="8" max="8" width="22.140625" bestFit="1" customWidth="1"/>
    <col min="9" max="10" width="9" bestFit="1" customWidth="1"/>
    <col min="12" max="12" width="48.28515625" bestFit="1" customWidth="1"/>
    <col min="13" max="14" width="9.42578125" bestFit="1" customWidth="1"/>
    <col min="15" max="15" width="17.42578125" bestFit="1" customWidth="1"/>
    <col min="16" max="16" width="13.5703125" bestFit="1" customWidth="1"/>
  </cols>
  <sheetData>
    <row r="1" spans="1:16" s="10" customFormat="1" ht="45" x14ac:dyDescent="0.25">
      <c r="A1" s="19" t="s">
        <v>121</v>
      </c>
      <c r="B1" s="11" t="s">
        <v>110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tr">
        <f>+_xlfn.CONCAT('ListRelacion impactos-indicador'!$H$1, " (",'ListRelacion impactos-indicador'!$G$101,")")</f>
        <v>Umbral General (m/s/m)</v>
      </c>
      <c r="I1" s="12" t="s">
        <v>101</v>
      </c>
      <c r="J1" s="12" t="s">
        <v>102</v>
      </c>
      <c r="K1" s="12" t="s">
        <v>103</v>
      </c>
      <c r="L1" s="11" t="s">
        <v>104</v>
      </c>
      <c r="M1" s="12" t="s">
        <v>105</v>
      </c>
      <c r="N1" s="12" t="s">
        <v>106</v>
      </c>
      <c r="O1" s="11" t="s">
        <v>107</v>
      </c>
      <c r="P1" s="11" t="s">
        <v>108</v>
      </c>
    </row>
    <row r="2" spans="1:16" x14ac:dyDescent="0.25">
      <c r="A2" s="16" t="str" cm="1">
        <f t="array" ref="A2:A5">_xlfn._xlws.FILTER(IF(B2:B176&lt;&gt;"","Rebase",""),B2:B176&lt;&gt;"")</f>
        <v>Rebase</v>
      </c>
      <c r="B2" s="7" cm="1">
        <f t="array" ref="B2:B5">_xlfn._xlws.FILTER('ListRelacion impactos-indicador'!A2:A182,ISNUMBER(SEARCH("Rebase",'ListRelacion impactos-indicador'!$C$2:$C$182)),"")</f>
        <v>28</v>
      </c>
      <c r="C2" s="7" t="str" cm="1">
        <f t="array" ref="C2:C5">_xlfn._xlws.FILTER('ListRelacion impactos-indicador'!B2:B182,ISNUMBER(SEARCH("Rebase",'ListRelacion impactos-indicador'!$C$2:$C$182)),"")</f>
        <v>ELO</v>
      </c>
      <c r="D2" s="7" t="str" cm="1">
        <f t="array" ref="D2:D5">_xlfn._xlws.FILTER('ListRelacion impactos-indicador'!C2:C182,ISNUMBER(SEARCH("Rebase",'ListRelacion impactos-indicador'!$C$2:$C$182)),"")</f>
        <v>Rebase sobre obras de abrigo por acción del oleaje</v>
      </c>
      <c r="E2" s="7" t="str" cm="1">
        <f t="array" ref="E2:E5">_xlfn._xlws.FILTER('ListRelacion impactos-indicador'!D2:D182,ISNUMBER(SEARCH("Rebase",'ListRelacion impactos-indicador'!$C$2:$C$182)),"")</f>
        <v>Oleaje</v>
      </c>
      <c r="F2" s="7" t="str" cm="1">
        <f t="array" ref="F2:F5">_xlfn._xlws.FILTER('ListRelacion impactos-indicador'!E2:E182,ISNUMBER(SEARCH("Rebase",'ListRelacion impactos-indicador'!$C$2:$C$182)),"")</f>
        <v>Dique en talud (con espaldón o sin espaldón)</v>
      </c>
      <c r="G2" s="7" t="str" cm="1">
        <f t="array" ref="G2:G5">_xlfn._xlws.FILTER('ListRelacion impactos-indicador'!F2:F182,ISNUMBER(SEARCH("Rebase",'ListRelacion impactos-indicador'!$C$2:$C$182)),"")</f>
        <v>Activo físico</v>
      </c>
      <c r="H2" s="7" t="str" cm="1">
        <f t="array" ref="H2:H5">_xlfn._xlws.FILTER(IF('ListRelacion impactos-indicador'!H2:H182="","",'ListRelacion impactos-indicador'!H2:H182),ISNUMBER(SEARCH("Rebase",'ListRelacion impactos-indicador'!$C$2:$C$182)),"")</f>
        <v/>
      </c>
      <c r="I2" s="7" t="str" cm="1">
        <f t="array" ref="I2:I5">_xlfn._xlws.FILTER(IF('ListRelacion impactos-indicador'!I2:I182="","",'ListRelacion impactos-indicador'!I2:I182),ISNUMBER(SEARCH("Rebase",'ListRelacion impactos-indicador'!$C$2:$C$182)),"")</f>
        <v/>
      </c>
      <c r="J2" s="7" t="str" cm="1">
        <f t="array" ref="J2:J5">_xlfn._xlws.FILTER(IF('ListRelacion impactos-indicador'!J2:J182="","",'ListRelacion impactos-indicador'!J2:J182),ISNUMBER(SEARCH("Rebase",'ListRelacion impactos-indicador'!$C$2:$C$182)),"")</f>
        <v/>
      </c>
      <c r="K2" s="7" t="str" cm="1">
        <f t="array" ref="K2:K5">_xlfn._xlws.FILTER(IF('ListRelacion impactos-indicador'!K2:K182="","",'ListRelacion impactos-indicador'!K2:K182),ISNUMBER(SEARCH("Rebase",'ListRelacion impactos-indicador'!$C$2:$C$182)),"")</f>
        <v/>
      </c>
      <c r="L2" s="7" t="str" cm="1">
        <f t="array" ref="L2:L5">_xlfn._xlws.FILTER(IF('ListRelacion impactos-indicador'!L2:L182="","",'ListRelacion impactos-indicador'!L2:L182),ISNUMBER(SEARCH("Rebase",'ListRelacion impactos-indicador'!$C$2:$C$182)),"")</f>
        <v/>
      </c>
      <c r="M2" s="7" t="str" cm="1">
        <f t="array" ref="M2:M5">_xlfn._xlws.FILTER(IF('ListRelacion impactos-indicador'!M2:M182="","",'ListRelacion impactos-indicador'!M2:M182),ISNUMBER(SEARCH("Rebase",'ListRelacion impactos-indicador'!$C$2:$C$182)),"")</f>
        <v/>
      </c>
      <c r="N2" s="7" t="str" cm="1">
        <f t="array" ref="N2:N5">_xlfn._xlws.FILTER(IF('ListRelacion impactos-indicador'!N2:N182="","",'ListRelacion impactos-indicador'!N2:N182),ISNUMBER(SEARCH("Rebase",'ListRelacion impactos-indicador'!$C$2:$C$182)),"")</f>
        <v/>
      </c>
      <c r="O2" s="7" t="str" cm="1">
        <f t="array" ref="O2:O5">_xlfn._xlws.FILTER(IF('ListRelacion impactos-indicador'!O2:O182="","",'ListRelacion impactos-indicador'!O2:O182),ISNUMBER(SEARCH("Rebase",'ListRelacion impactos-indicador'!$C$2:$C$182)),"")</f>
        <v/>
      </c>
      <c r="P2" s="7" t="str" cm="1">
        <f t="array" ref="P2:P5">_xlfn._xlws.FILTER(IF('ListRelacion impactos-indicador'!P2:P182="","",'ListRelacion impactos-indicador'!P2:P182),ISNUMBER(SEARCH("Rebase",'ListRelacion impactos-indicador'!$C$2:$C$182)),"")</f>
        <v/>
      </c>
    </row>
    <row r="3" spans="1:16" x14ac:dyDescent="0.25">
      <c r="A3" s="16" t="str">
        <v>Rebase</v>
      </c>
      <c r="B3" s="7">
        <v>32</v>
      </c>
      <c r="C3" s="7" t="str">
        <v>ELO</v>
      </c>
      <c r="D3" s="7" t="str">
        <v>Rebase sobre obras de abrigo por acción del oleaje</v>
      </c>
      <c r="E3" s="7" t="str">
        <v>Oleaje</v>
      </c>
      <c r="F3" s="7" t="str">
        <v>Dique vertical</v>
      </c>
      <c r="G3" s="7" t="str">
        <v>Activo físico</v>
      </c>
      <c r="H3" s="7" t="str">
        <v/>
      </c>
      <c r="I3" s="16" t="str">
        <v/>
      </c>
      <c r="J3" s="16" t="str">
        <v/>
      </c>
      <c r="K3" s="16" t="str">
        <v/>
      </c>
      <c r="L3" s="16" t="str">
        <v/>
      </c>
      <c r="M3" s="16" t="str">
        <v/>
      </c>
      <c r="N3" s="16" t="str">
        <v/>
      </c>
      <c r="O3" s="16" t="str">
        <v/>
      </c>
      <c r="P3" s="16" t="str">
        <v/>
      </c>
    </row>
    <row r="4" spans="1:16" x14ac:dyDescent="0.25">
      <c r="A4" s="16" t="str">
        <v>Rebase</v>
      </c>
      <c r="B4" s="7">
        <v>100</v>
      </c>
      <c r="C4" s="7" t="str">
        <v>ELS</v>
      </c>
      <c r="D4" s="7" t="str">
        <v>Rebase sobre obras de abrigo por acción del oleaje</v>
      </c>
      <c r="E4" s="7" t="str">
        <v>Oleaje</v>
      </c>
      <c r="F4" s="7" t="str">
        <v>Dique en talud (con espaldón o sin espaldón)</v>
      </c>
      <c r="G4" s="7" t="str">
        <v>Activo físico</v>
      </c>
      <c r="H4" s="7" t="str">
        <v/>
      </c>
      <c r="I4" s="16" t="str">
        <v/>
      </c>
      <c r="J4" s="16" t="str">
        <v/>
      </c>
      <c r="K4" s="16" t="str">
        <v/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</row>
    <row r="5" spans="1:16" x14ac:dyDescent="0.25">
      <c r="A5" s="16" t="str">
        <v>Rebase</v>
      </c>
      <c r="B5" s="5">
        <v>101</v>
      </c>
      <c r="C5" s="5" t="str">
        <v>ELS</v>
      </c>
      <c r="D5" s="5" t="str">
        <v>Rebase sobre obras de abrigo por acción del oleaje</v>
      </c>
      <c r="E5" s="5" t="str">
        <v>Oleaje</v>
      </c>
      <c r="F5" s="5" t="str">
        <v>Dique vertical</v>
      </c>
      <c r="G5" s="5" t="str">
        <v>Activo físico</v>
      </c>
      <c r="H5" s="5" t="str">
        <v/>
      </c>
      <c r="I5" s="16" t="str">
        <v/>
      </c>
      <c r="J5" s="16" t="str">
        <v/>
      </c>
      <c r="K5" s="16" t="str">
        <v/>
      </c>
      <c r="L5" s="16" t="str">
        <v/>
      </c>
      <c r="M5" s="16" t="str">
        <v/>
      </c>
      <c r="N5" s="16" t="str">
        <v/>
      </c>
      <c r="O5" s="16" t="str">
        <v/>
      </c>
      <c r="P5" s="16" t="str">
        <v/>
      </c>
    </row>
  </sheetData>
  <pageMargins left="0.7" right="0.7" top="0.75" bottom="0.75" header="0.3" footer="0.3"/>
  <pageSetup paperSize="9" scale="3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5AB7-FEE3-474C-80E5-B512CE92E87A}">
  <dimension ref="A1:P13"/>
  <sheetViews>
    <sheetView view="pageBreakPreview" topLeftCell="G1" zoomScale="145" zoomScaleNormal="100" zoomScaleSheetLayoutView="145" workbookViewId="0">
      <selection activeCell="H2" sqref="H2"/>
    </sheetView>
  </sheetViews>
  <sheetFormatPr baseColWidth="10" defaultColWidth="9.140625" defaultRowHeight="15" x14ac:dyDescent="0.25"/>
  <cols>
    <col min="1" max="1" width="12.42578125" bestFit="1" customWidth="1"/>
    <col min="2" max="2" width="8.140625" bestFit="1" customWidth="1"/>
    <col min="3" max="3" width="19.7109375" bestFit="1" customWidth="1"/>
    <col min="4" max="4" width="63.140625" bestFit="1" customWidth="1"/>
    <col min="5" max="5" width="13" bestFit="1" customWidth="1"/>
    <col min="6" max="6" width="73.140625" bestFit="1" customWidth="1"/>
    <col min="7" max="7" width="23" bestFit="1" customWidth="1"/>
    <col min="8" max="8" width="19" bestFit="1" customWidth="1"/>
    <col min="9" max="10" width="9" bestFit="1" customWidth="1"/>
    <col min="12" max="12" width="48.28515625" bestFit="1" customWidth="1"/>
    <col min="13" max="14" width="8.85546875" bestFit="1" customWidth="1"/>
    <col min="15" max="15" width="17.42578125" bestFit="1" customWidth="1"/>
    <col min="16" max="16" width="13.5703125" bestFit="1" customWidth="1"/>
  </cols>
  <sheetData>
    <row r="1" spans="1:16" s="10" customFormat="1" ht="45" x14ac:dyDescent="0.25">
      <c r="A1" s="19" t="s">
        <v>121</v>
      </c>
      <c r="B1" s="9" t="s">
        <v>110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1" t="str">
        <f>+_xlfn.CONCAT('ListRelacion impactos-indicador'!$H$1, " (",'ListRelacion impactos-indicador'!$G$66,")")</f>
        <v>Umbral General (°C)</v>
      </c>
      <c r="I1" s="12" t="s">
        <v>101</v>
      </c>
      <c r="J1" s="12" t="s">
        <v>102</v>
      </c>
      <c r="K1" s="12" t="s">
        <v>103</v>
      </c>
      <c r="L1" s="11" t="s">
        <v>104</v>
      </c>
      <c r="M1" s="12" t="s">
        <v>105</v>
      </c>
      <c r="N1" s="12" t="s">
        <v>106</v>
      </c>
      <c r="O1" s="11" t="s">
        <v>107</v>
      </c>
      <c r="P1" s="11" t="s">
        <v>108</v>
      </c>
    </row>
    <row r="2" spans="1:16" ht="14.25" customHeight="1" x14ac:dyDescent="0.25">
      <c r="A2" s="16" t="str" cm="1">
        <f t="array" ref="A2:A13">_xlfn._xlws.FILTER(IF(B2:B176&lt;&gt;"","Temperatura",""),B2:B176&lt;&gt;"")</f>
        <v>Temperatura</v>
      </c>
      <c r="B2" s="5" cm="1">
        <f t="array" ref="B2:B13">_xlfn._xlws.FILTER('ListRelacion impactos-indicador'!A2:A182,'ListRelacion impactos-indicador'!$D$2:$D$182="Temperatura","")</f>
        <v>65</v>
      </c>
      <c r="C2" s="5" t="str" cm="1">
        <f t="array" ref="C2:C13">_xlfn._xlws.FILTER('ListRelacion impactos-indicador'!B2:B182,'ListRelacion impactos-indicador'!$D$2:$D$182="Temperatura","")</f>
        <v>ELO</v>
      </c>
      <c r="D2" s="5" t="str" cm="1">
        <f t="array" ref="D2:D13">_xlfn._xlws.FILTER('ListRelacion impactos-indicador'!C2:C182,'ListRelacion impactos-indicador'!$D$2:$D$182="Temperatura","")</f>
        <v>Por temperatura extrema</v>
      </c>
      <c r="E2" s="5" t="str" cm="1">
        <f t="array" ref="E2:E13">_xlfn._xlws.FILTER('ListRelacion impactos-indicador'!D2:D182,'ListRelacion impactos-indicador'!$D$2:$D$182="Temperatura","")</f>
        <v>Temperatura</v>
      </c>
      <c r="F2" s="5" t="str" cm="1">
        <f t="array" ref="F2:F13">_xlfn._xlws.FILTER('ListRelacion impactos-indicador'!E2:E182,'ListRelacion impactos-indicador'!$D$2:$D$182="Temperatura","")</f>
        <v>Personal del puerto</v>
      </c>
      <c r="G2" s="5" t="str" cm="1">
        <f t="array" ref="G2:G13">_xlfn._xlws.FILTER('ListRelacion impactos-indicador'!F2:F182,'ListRelacion impactos-indicador'!$D$2:$D$182="Temperatura","")</f>
        <v>Operacional (servicios)</v>
      </c>
      <c r="H2" s="5" t="str" cm="1">
        <f t="array" ref="H2:H13">_xlfn._xlws.FILTER(IF('ListRelacion impactos-indicador'!H2:H182="","",'ListRelacion impactos-indicador'!H2:H182),'ListRelacion impactos-indicador'!$D$2:$D$182="Temperatura","")</f>
        <v/>
      </c>
      <c r="I2" s="5" t="str" cm="1">
        <f t="array" ref="I2:I13">_xlfn._xlws.FILTER(IF('ListRelacion impactos-indicador'!I2:I182="","",'ListRelacion impactos-indicador'!I2:I182),'ListRelacion impactos-indicador'!$D$2:$D$182="Temperatura","")</f>
        <v/>
      </c>
      <c r="J2" s="5" t="str" cm="1">
        <f t="array" ref="J2:J13">_xlfn._xlws.FILTER(IF('ListRelacion impactos-indicador'!J2:J182="","",'ListRelacion impactos-indicador'!J2:J182),'ListRelacion impactos-indicador'!$D$2:$D$182="Temperatura","")</f>
        <v/>
      </c>
      <c r="K2" s="5" t="str" cm="1">
        <f t="array" ref="K2:K13">_xlfn._xlws.FILTER(IF('ListRelacion impactos-indicador'!K2:K182="","",'ListRelacion impactos-indicador'!K2:K182),'ListRelacion impactos-indicador'!$D$2:$D$182="Temperatura","")</f>
        <v/>
      </c>
      <c r="L2" s="5" t="str" cm="1">
        <f t="array" ref="L2:L13">_xlfn._xlws.FILTER(IF('ListRelacion impactos-indicador'!L2:L182="","",'ListRelacion impactos-indicador'!L2:L182),'ListRelacion impactos-indicador'!$D$2:$D$182="Temperatura","")</f>
        <v/>
      </c>
      <c r="M2" s="5" t="str" cm="1">
        <f t="array" ref="M2:M13">_xlfn._xlws.FILTER(IF('ListRelacion impactos-indicador'!M2:M182="","",'ListRelacion impactos-indicador'!M2:M182),'ListRelacion impactos-indicador'!$D$2:$D$182="Temperatura","")</f>
        <v/>
      </c>
      <c r="N2" s="5" t="str" cm="1">
        <f t="array" ref="N2:N13">_xlfn._xlws.FILTER(IF('ListRelacion impactos-indicador'!N2:N182="","",'ListRelacion impactos-indicador'!N2:N182),'ListRelacion impactos-indicador'!$D$2:$D$182="Temperatura","")</f>
        <v/>
      </c>
      <c r="O2" s="5" t="str" cm="1">
        <f t="array" ref="O2:O13">_xlfn._xlws.FILTER(IF('ListRelacion impactos-indicador'!O2:O182="","",'ListRelacion impactos-indicador'!O2:O182),'ListRelacion impactos-indicador'!$D$2:$D$182="Temperatura","")</f>
        <v/>
      </c>
      <c r="P2" s="5" t="str" cm="1">
        <f t="array" ref="P2:P13">_xlfn._xlws.FILTER(IF('ListRelacion impactos-indicador'!P2:P182="","",'ListRelacion impactos-indicador'!P2:P182),'ListRelacion impactos-indicador'!$D$2:$D$182="Temperatura","")</f>
        <v/>
      </c>
    </row>
    <row r="3" spans="1:16" x14ac:dyDescent="0.25">
      <c r="A3" s="16" t="str">
        <v>Temperatura</v>
      </c>
      <c r="B3" s="5">
        <v>104</v>
      </c>
      <c r="C3" s="5" t="str">
        <v>ELS</v>
      </c>
      <c r="D3" s="5" t="str">
        <v>Por deterioro debido a temperatura del aire excesiva</v>
      </c>
      <c r="E3" s="5" t="str">
        <v>Temperatura</v>
      </c>
      <c r="F3" s="5" t="str">
        <v>Pavimentos</v>
      </c>
      <c r="G3" s="5" t="str">
        <v>Activo físico</v>
      </c>
      <c r="H3" s="5" t="str">
        <v/>
      </c>
      <c r="I3" s="16" t="str">
        <v/>
      </c>
      <c r="J3" s="16" t="str">
        <v/>
      </c>
      <c r="K3" s="16" t="str">
        <v/>
      </c>
      <c r="L3" s="16" t="str">
        <v/>
      </c>
      <c r="M3" s="16" t="str">
        <v/>
      </c>
      <c r="N3" s="16" t="str">
        <v/>
      </c>
      <c r="O3" s="16" t="str">
        <v/>
      </c>
      <c r="P3" s="16" t="str">
        <v/>
      </c>
    </row>
    <row r="4" spans="1:16" x14ac:dyDescent="0.25">
      <c r="A4" s="16" t="str">
        <v>Temperatura</v>
      </c>
      <c r="B4" s="5">
        <v>112</v>
      </c>
      <c r="C4" s="5" t="str">
        <v>ELS</v>
      </c>
      <c r="D4" s="5" t="str">
        <v>Por daños en infraestructuras debido a temperatura del aire excesiva</v>
      </c>
      <c r="E4" s="5" t="str">
        <v>Temperatura</v>
      </c>
      <c r="F4" s="5" t="str">
        <v>Accesos ferroviarios y terminales ferroportuarias</v>
      </c>
      <c r="G4" s="5" t="str">
        <v>Activo físico</v>
      </c>
      <c r="H4" s="5" t="str">
        <v/>
      </c>
      <c r="I4" s="16" t="str">
        <v/>
      </c>
      <c r="J4" s="16" t="str">
        <v/>
      </c>
      <c r="K4" s="16" t="str">
        <v/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</row>
    <row r="5" spans="1:16" x14ac:dyDescent="0.25">
      <c r="A5" s="16" t="str">
        <v>Temperatura</v>
      </c>
      <c r="B5" s="5">
        <v>114</v>
      </c>
      <c r="C5" s="5" t="str">
        <v>ELS</v>
      </c>
      <c r="D5" s="5" t="str">
        <v>Por daños en infraestructuras debido a temperatura del aire excesiva</v>
      </c>
      <c r="E5" s="5" t="str">
        <v>Temperatura</v>
      </c>
      <c r="F5" s="5" t="str">
        <v>Accesos viarios</v>
      </c>
      <c r="G5" s="5" t="str">
        <v>Activo físico</v>
      </c>
      <c r="H5" s="5" t="str">
        <v/>
      </c>
      <c r="I5" s="16" t="str">
        <v/>
      </c>
      <c r="J5" s="16" t="str">
        <v/>
      </c>
      <c r="K5" s="16" t="str">
        <v/>
      </c>
      <c r="L5" s="16" t="str">
        <v/>
      </c>
      <c r="M5" s="16" t="str">
        <v/>
      </c>
      <c r="N5" s="16" t="str">
        <v/>
      </c>
      <c r="O5" s="16" t="str">
        <v/>
      </c>
      <c r="P5" s="16" t="str">
        <v/>
      </c>
    </row>
    <row r="6" spans="1:16" x14ac:dyDescent="0.25">
      <c r="A6" s="16" t="str">
        <v>Temperatura</v>
      </c>
      <c r="B6" s="5">
        <v>117</v>
      </c>
      <c r="C6" s="5" t="str">
        <v>ELS</v>
      </c>
      <c r="D6" s="5" t="str">
        <v>Incremento de costes energéticos</v>
      </c>
      <c r="E6" s="5" t="str">
        <v>Temperatura</v>
      </c>
      <c r="F6" s="5" t="str">
        <v>Edificios de servicios generales (Oficinas, Aduanas, PIF, Control de accesos, etc.)</v>
      </c>
      <c r="G6" s="5" t="str">
        <v>Activo físico</v>
      </c>
      <c r="H6" s="5" t="str">
        <v/>
      </c>
      <c r="I6" s="16" t="str">
        <v/>
      </c>
      <c r="J6" s="16" t="str">
        <v/>
      </c>
      <c r="K6" s="16" t="str">
        <v/>
      </c>
      <c r="L6" s="16" t="str">
        <v/>
      </c>
      <c r="M6" s="16" t="str">
        <v/>
      </c>
      <c r="N6" s="16" t="str">
        <v/>
      </c>
      <c r="O6" s="16" t="str">
        <v/>
      </c>
      <c r="P6" s="16" t="str">
        <v/>
      </c>
    </row>
    <row r="7" spans="1:16" x14ac:dyDescent="0.25">
      <c r="A7" s="16" t="str">
        <v>Temperatura</v>
      </c>
      <c r="B7" s="5">
        <v>120</v>
      </c>
      <c r="C7" s="5" t="str">
        <v>ELS</v>
      </c>
      <c r="D7" s="5" t="str">
        <v>Por temperatura del aire excesiva</v>
      </c>
      <c r="E7" s="5" t="str">
        <v>Temperatura</v>
      </c>
      <c r="F7" s="5" t="str">
        <v>Zonas de Actividad Logística</v>
      </c>
      <c r="G7" s="5" t="str">
        <v>Activo físico</v>
      </c>
      <c r="H7" s="5" t="str">
        <v/>
      </c>
      <c r="I7" s="16" t="str">
        <v/>
      </c>
      <c r="J7" s="16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</row>
    <row r="8" spans="1:16" x14ac:dyDescent="0.25">
      <c r="A8" s="16" t="str">
        <v>Temperatura</v>
      </c>
      <c r="B8" s="5">
        <v>130</v>
      </c>
      <c r="C8" s="5" t="str">
        <v>ELS</v>
      </c>
      <c r="D8" s="5" t="str">
        <v>Por daños en infraestructura debido a Temperatura del aire excesiva</v>
      </c>
      <c r="E8" s="5" t="str">
        <v>Temperatura</v>
      </c>
      <c r="F8" s="5" t="str">
        <v>Depósito /Almacenamiento</v>
      </c>
      <c r="G8" s="5" t="str">
        <v>Activo físico</v>
      </c>
      <c r="H8" s="5" t="str">
        <v/>
      </c>
      <c r="I8" s="16" t="str">
        <v/>
      </c>
      <c r="J8" s="16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</row>
    <row r="9" spans="1:16" x14ac:dyDescent="0.25">
      <c r="A9" s="16" t="str">
        <v>Temperatura</v>
      </c>
      <c r="B9" s="5">
        <v>134</v>
      </c>
      <c r="C9" s="5" t="str">
        <v>ELS</v>
      </c>
      <c r="D9" s="5" t="str">
        <v>Por daños en infraestructura debido a temperatura del aire excesiva</v>
      </c>
      <c r="E9" s="5" t="str">
        <v>Temperatura</v>
      </c>
      <c r="F9" s="5" t="str">
        <v>Maquinaria de patio</v>
      </c>
      <c r="G9" s="5" t="str">
        <v>Activo físico</v>
      </c>
      <c r="H9" s="5" t="str">
        <v/>
      </c>
      <c r="I9" s="16" t="str">
        <v/>
      </c>
      <c r="J9" s="16" t="str">
        <v/>
      </c>
      <c r="K9" s="16" t="str">
        <v/>
      </c>
      <c r="L9" s="16" t="str">
        <v/>
      </c>
      <c r="M9" s="16" t="str">
        <v/>
      </c>
      <c r="N9" s="16" t="str">
        <v/>
      </c>
      <c r="O9" s="16" t="str">
        <v/>
      </c>
      <c r="P9" s="16" t="str">
        <v/>
      </c>
    </row>
    <row r="10" spans="1:16" x14ac:dyDescent="0.25">
      <c r="A10" s="16" t="str">
        <v>Temperatura</v>
      </c>
      <c r="B10" s="5">
        <v>138</v>
      </c>
      <c r="C10" s="5" t="str">
        <v>ELS</v>
      </c>
      <c r="D10" s="5" t="str">
        <v>Por deterioro debido a temperatura del aire excesiva</v>
      </c>
      <c r="E10" s="5" t="str">
        <v>Temperatura</v>
      </c>
      <c r="F10" s="5" t="str">
        <v>Campa y aparcamiento</v>
      </c>
      <c r="G10" s="5" t="str">
        <v>Activo físico</v>
      </c>
      <c r="H10" s="5" t="str">
        <v/>
      </c>
      <c r="I10" s="16" t="str">
        <v/>
      </c>
      <c r="J10" s="16" t="str">
        <v/>
      </c>
      <c r="K10" s="16" t="str">
        <v/>
      </c>
      <c r="L10" s="16" t="str">
        <v/>
      </c>
      <c r="M10" s="16" t="str">
        <v/>
      </c>
      <c r="N10" s="16" t="str">
        <v/>
      </c>
      <c r="O10" s="16" t="str">
        <v/>
      </c>
      <c r="P10" s="16" t="str">
        <v/>
      </c>
    </row>
    <row r="11" spans="1:16" x14ac:dyDescent="0.25">
      <c r="A11" s="16" t="str">
        <v>Temperatura</v>
      </c>
      <c r="B11" s="5">
        <v>140</v>
      </c>
      <c r="C11" s="5" t="str">
        <v>ELS</v>
      </c>
      <c r="D11" s="5" t="str">
        <v>Incremento de costes energéticos</v>
      </c>
      <c r="E11" s="5" t="str">
        <v>Temperatura</v>
      </c>
      <c r="F11" s="5" t="str">
        <v>Estación marítima</v>
      </c>
      <c r="G11" s="5" t="str">
        <v>Activo físico</v>
      </c>
      <c r="H11" s="5" t="str">
        <v/>
      </c>
      <c r="I11" s="16" t="str">
        <v/>
      </c>
      <c r="J11" s="16" t="str">
        <v/>
      </c>
      <c r="K11" s="16" t="str">
        <v/>
      </c>
      <c r="L11" s="16" t="str">
        <v/>
      </c>
      <c r="M11" s="16" t="str">
        <v/>
      </c>
      <c r="N11" s="16" t="str">
        <v/>
      </c>
      <c r="O11" s="16" t="str">
        <v/>
      </c>
      <c r="P11" s="16" t="str">
        <v/>
      </c>
    </row>
    <row r="12" spans="1:16" x14ac:dyDescent="0.25">
      <c r="A12" s="16" t="str">
        <v>Temperatura</v>
      </c>
      <c r="B12" s="5">
        <v>143</v>
      </c>
      <c r="C12" s="5" t="str">
        <v>ELS</v>
      </c>
      <c r="D12" s="5" t="str">
        <v>Por temperatura del aire excesiva</v>
      </c>
      <c r="E12" s="5" t="str">
        <v>Temperatura</v>
      </c>
      <c r="F12" s="5" t="str">
        <v>Lonja</v>
      </c>
      <c r="G12" s="5" t="str">
        <v>Activo físico</v>
      </c>
      <c r="H12" s="5" t="str">
        <v/>
      </c>
      <c r="I12" s="16" t="str">
        <v/>
      </c>
      <c r="J12" s="16" t="str">
        <v/>
      </c>
      <c r="K12" s="16" t="str">
        <v/>
      </c>
      <c r="L12" s="16" t="str">
        <v/>
      </c>
      <c r="M12" s="16" t="str">
        <v/>
      </c>
      <c r="N12" s="16" t="str">
        <v/>
      </c>
      <c r="O12" s="16" t="str">
        <v/>
      </c>
      <c r="P12" s="16" t="str">
        <v/>
      </c>
    </row>
    <row r="13" spans="1:16" x14ac:dyDescent="0.25">
      <c r="A13" s="16" t="str">
        <v>Temperatura</v>
      </c>
      <c r="B13" s="5">
        <v>151</v>
      </c>
      <c r="C13" s="5" t="str">
        <v>ELS</v>
      </c>
      <c r="D13" s="5" t="str">
        <v>Por temperatura del aire excesiva</v>
      </c>
      <c r="E13" s="5" t="str">
        <v>Temperatura</v>
      </c>
      <c r="F13" s="5" t="str">
        <v>Equipamientos culturales o deportivos</v>
      </c>
      <c r="G13" s="5" t="str">
        <v>Activo físico</v>
      </c>
      <c r="H13" s="5" t="str">
        <v/>
      </c>
      <c r="I13" s="16" t="str">
        <v/>
      </c>
      <c r="J13" s="16" t="str">
        <v/>
      </c>
      <c r="K13" s="16" t="str">
        <v/>
      </c>
      <c r="L13" s="16" t="str">
        <v/>
      </c>
      <c r="M13" s="16" t="str">
        <v/>
      </c>
      <c r="N13" s="16" t="str">
        <v/>
      </c>
      <c r="O13" s="16" t="str">
        <v/>
      </c>
      <c r="P13" s="16" t="str">
        <v/>
      </c>
    </row>
  </sheetData>
  <autoFilter ref="B1:G1" xr:uid="{00000000-0001-0000-0000-000000000000}"/>
  <pageMargins left="0.75" right="0.75" top="1" bottom="1" header="0.5" footer="0.5"/>
  <pageSetup paperSize="9" scale="2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02DE-4A4D-48A2-9CC4-F71B71CC56F3}">
  <dimension ref="A1:P44"/>
  <sheetViews>
    <sheetView view="pageBreakPreview" topLeftCell="E1" zoomScale="85" zoomScaleNormal="100" zoomScaleSheetLayoutView="85" workbookViewId="0">
      <selection activeCell="H29" sqref="H29"/>
    </sheetView>
  </sheetViews>
  <sheetFormatPr baseColWidth="10" defaultRowHeight="15" x14ac:dyDescent="0.25"/>
  <cols>
    <col min="1" max="1" width="10.42578125" bestFit="1" customWidth="1"/>
    <col min="2" max="2" width="8.85546875" bestFit="1" customWidth="1"/>
    <col min="3" max="3" width="19.85546875" bestFit="1" customWidth="1"/>
    <col min="4" max="4" width="36.42578125" bestFit="1" customWidth="1"/>
    <col min="5" max="5" width="13.42578125" bestFit="1" customWidth="1"/>
    <col min="6" max="6" width="76.7109375" bestFit="1" customWidth="1"/>
    <col min="7" max="7" width="23" bestFit="1" customWidth="1"/>
    <col min="8" max="8" width="25.140625" bestFit="1" customWidth="1"/>
    <col min="9" max="10" width="13.85546875" bestFit="1" customWidth="1"/>
    <col min="11" max="11" width="23.5703125" bestFit="1" customWidth="1"/>
    <col min="12" max="12" width="52.85546875" bestFit="1" customWidth="1"/>
    <col min="13" max="13" width="14.42578125" bestFit="1" customWidth="1"/>
    <col min="14" max="14" width="14.140625" bestFit="1" customWidth="1"/>
    <col min="15" max="15" width="22" bestFit="1" customWidth="1"/>
    <col min="16" max="16" width="18.140625" bestFit="1" customWidth="1"/>
  </cols>
  <sheetData>
    <row r="1" spans="1:16" s="13" customFormat="1" ht="30" x14ac:dyDescent="0.25">
      <c r="A1" s="19" t="s">
        <v>121</v>
      </c>
      <c r="B1" s="9" t="s">
        <v>110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tr">
        <f>+_xlfn.CONCAT('ListRelacion impactos-indicador'!$H$1, " (",'ListRelacion impactos-indicador'!$G$3,")")</f>
        <v>Umbral General (m/s)</v>
      </c>
      <c r="I1" s="12" t="s">
        <v>101</v>
      </c>
      <c r="J1" s="12" t="s">
        <v>102</v>
      </c>
      <c r="K1" s="12" t="s">
        <v>103</v>
      </c>
      <c r="L1" s="11" t="s">
        <v>104</v>
      </c>
      <c r="M1" s="12" t="s">
        <v>105</v>
      </c>
      <c r="N1" s="12" t="s">
        <v>106</v>
      </c>
      <c r="O1" s="11" t="s">
        <v>107</v>
      </c>
      <c r="P1" s="11" t="s">
        <v>108</v>
      </c>
    </row>
    <row r="2" spans="1:16" x14ac:dyDescent="0.25">
      <c r="A2" s="22" t="str" cm="1">
        <f t="array" ref="A2:A44">_xlfn._xlws.FILTER(IF(B2:B176&lt;&gt;"","Viento",""),B2:B176&lt;&gt;"")</f>
        <v>Viento</v>
      </c>
      <c r="B2" s="23" cm="1">
        <f t="array" ref="B2:B44">_xlfn._xlws.FILTER('ListRelacion impactos-indicador'!A2:A182,'ListRelacion impactos-indicador'!$D$2:$D$182="Viento","")</f>
        <v>2</v>
      </c>
      <c r="C2" s="23" t="str" cm="1">
        <f t="array" ref="C2:C44">_xlfn._xlws.FILTER('ListRelacion impactos-indicador'!B2:B182,'ListRelacion impactos-indicador'!$D$2:$D$182="Viento","")</f>
        <v>ELO</v>
      </c>
      <c r="D2" s="27" t="str" cm="1">
        <f t="array" ref="D2:D44">_xlfn._xlws.FILTER('ListRelacion impactos-indicador'!C2:C182,'ListRelacion impactos-indicador'!$D$2:$D$182="Viento","")</f>
        <v>Exceso de Viento</v>
      </c>
      <c r="E2" s="23" t="str" cm="1">
        <f t="array" ref="E2:E44">_xlfn._xlws.FILTER('ListRelacion impactos-indicador'!D2:D182,'ListRelacion impactos-indicador'!$D$2:$D$182="Viento","")</f>
        <v>Viento</v>
      </c>
      <c r="F2" s="23" t="str" cm="1">
        <f t="array" ref="F2:F44">_xlfn._xlws.FILTER('ListRelacion impactos-indicador'!E2:E182,'ListRelacion impactos-indicador'!$D$2:$D$182="Viento","")</f>
        <v>Zona de fondeo y espera exterior</v>
      </c>
      <c r="G2" s="23" t="str" cm="1">
        <f t="array" ref="G2:G44">_xlfn._xlws.FILTER('ListRelacion impactos-indicador'!F2:F182,'ListRelacion impactos-indicador'!$D$2:$D$182="Viento","")</f>
        <v>Activo físico</v>
      </c>
      <c r="H2" s="23" cm="1">
        <f t="array" ref="H2:H44">_xlfn._xlws.FILTER(IF('ListRelacion impactos-indicador'!H2:H182="","",'ListRelacion impactos-indicador'!H2:H182),'ListRelacion impactos-indicador'!$D$2:$D$182="Viento","")</f>
        <v>24</v>
      </c>
      <c r="I2" s="23" t="str" cm="1">
        <f t="array" ref="I2:I44">_xlfn._xlws.FILTER(IF('ListRelacion impactos-indicador'!I2:I182="","",'ListRelacion impactos-indicador'!I2:I182),'ListRelacion impactos-indicador'!$D$2:$D$182="Viento","")</f>
        <v/>
      </c>
      <c r="J2" s="23" t="str" cm="1">
        <f t="array" ref="J2:J44">_xlfn._xlws.FILTER(IF('ListRelacion impactos-indicador'!J2:J182="","",'ListRelacion impactos-indicador'!J2:J182),'ListRelacion impactos-indicador'!$D$2:$D$182="Viento","")</f>
        <v/>
      </c>
      <c r="K2" s="23" t="str" cm="1">
        <f t="array" ref="K2:K44">_xlfn._xlws.FILTER(IF('ListRelacion impactos-indicador'!K2:K182="","",'ListRelacion impactos-indicador'!K2:K182),'ListRelacion impactos-indicador'!$D$2:$D$182="Viento","")</f>
        <v/>
      </c>
      <c r="L2" s="23" t="str" cm="1">
        <f t="array" ref="L2:L44">_xlfn._xlws.FILTER(IF('ListRelacion impactos-indicador'!L2:L182="","",'ListRelacion impactos-indicador'!L2:L182),'ListRelacion impactos-indicador'!$D$2:$D$182="Viento","")</f>
        <v/>
      </c>
      <c r="M2" s="23" t="str" cm="1">
        <f t="array" ref="M2:M44">_xlfn._xlws.FILTER(IF('ListRelacion impactos-indicador'!M2:M182="","",'ListRelacion impactos-indicador'!M2:M182),'ListRelacion impactos-indicador'!$D$2:$D$182="Viento","")</f>
        <v/>
      </c>
      <c r="N2" s="23" t="str" cm="1">
        <f t="array" ref="N2:N44">_xlfn._xlws.FILTER(IF('ListRelacion impactos-indicador'!N2:N182="","",'ListRelacion impactos-indicador'!N2:N182),'ListRelacion impactos-indicador'!$D$2:$D$182="Viento","")</f>
        <v/>
      </c>
      <c r="O2" s="23" t="str" cm="1">
        <f t="array" ref="O2:O44">_xlfn._xlws.FILTER(IF('ListRelacion impactos-indicador'!O2:O182="","",'ListRelacion impactos-indicador'!O2:O182),'ListRelacion impactos-indicador'!$D$2:$D$182="Viento","")</f>
        <v/>
      </c>
      <c r="P2" s="23" t="str" cm="1">
        <f t="array" ref="P2:P44">_xlfn._xlws.FILTER(IF('ListRelacion impactos-indicador'!P2:P182="","",'ListRelacion impactos-indicador'!P2:P182),'ListRelacion impactos-indicador'!$D$2:$D$182="Viento","")</f>
        <v/>
      </c>
    </row>
    <row r="3" spans="1:16" x14ac:dyDescent="0.25">
      <c r="A3" s="16" t="str">
        <v>Viento</v>
      </c>
      <c r="B3" s="5">
        <v>4</v>
      </c>
      <c r="C3" s="5" t="str">
        <v>ELO</v>
      </c>
      <c r="D3" s="25" t="str">
        <v>Exceso de Viento</v>
      </c>
      <c r="E3" s="5" t="str">
        <v>Viento</v>
      </c>
      <c r="F3" s="5" t="str">
        <v>Bocana</v>
      </c>
      <c r="G3" s="5" t="str">
        <v>Activo físico</v>
      </c>
      <c r="H3" s="5">
        <v>10</v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>
        <v>16</v>
      </c>
      <c r="O3" s="5">
        <v>16</v>
      </c>
      <c r="P3" s="5" t="str">
        <v/>
      </c>
    </row>
    <row r="4" spans="1:16" x14ac:dyDescent="0.25">
      <c r="A4" s="16" t="str">
        <v>Viento</v>
      </c>
      <c r="B4" s="5">
        <v>8</v>
      </c>
      <c r="C4" s="5" t="str">
        <v>ELO</v>
      </c>
      <c r="D4" s="25" t="str">
        <v>Exceso de Viento</v>
      </c>
      <c r="E4" s="5" t="str">
        <v>Viento</v>
      </c>
      <c r="F4" s="5" t="str">
        <v>Canal de acceso / navegación</v>
      </c>
      <c r="G4" s="5" t="str">
        <v>Activo físico</v>
      </c>
      <c r="H4" s="5">
        <v>17</v>
      </c>
      <c r="I4" s="5" t="str">
        <v/>
      </c>
      <c r="J4" s="5" t="str">
        <v/>
      </c>
      <c r="K4" s="5" t="str">
        <v/>
      </c>
      <c r="L4" s="5" t="str">
        <v/>
      </c>
      <c r="M4" s="5" t="str">
        <v/>
      </c>
      <c r="N4" s="5" t="str">
        <v/>
      </c>
      <c r="O4" s="5" t="str">
        <v/>
      </c>
      <c r="P4" s="5" t="str">
        <v/>
      </c>
    </row>
    <row r="5" spans="1:16" x14ac:dyDescent="0.25">
      <c r="A5" s="16" t="str">
        <v>Viento</v>
      </c>
      <c r="B5" s="5">
        <v>12</v>
      </c>
      <c r="C5" s="5" t="str">
        <v>ELO</v>
      </c>
      <c r="D5" s="25" t="str">
        <v>Exceso de Viento</v>
      </c>
      <c r="E5" s="5" t="str">
        <v>Viento</v>
      </c>
      <c r="F5" s="5" t="str">
        <v>Dársenas (zona de permanencia)</v>
      </c>
      <c r="G5" s="5" t="str">
        <v>Activo físico</v>
      </c>
      <c r="H5" s="5">
        <v>10</v>
      </c>
      <c r="I5" s="5" t="str">
        <v/>
      </c>
      <c r="J5" s="5" t="str">
        <v/>
      </c>
      <c r="K5" s="5" t="str">
        <v/>
      </c>
      <c r="L5" s="5" t="str">
        <v/>
      </c>
      <c r="M5" s="5" t="str">
        <v/>
      </c>
      <c r="N5" s="5" t="str">
        <v/>
      </c>
      <c r="O5" s="5" t="str">
        <v/>
      </c>
      <c r="P5" s="5" t="str">
        <v/>
      </c>
    </row>
    <row r="6" spans="1:16" x14ac:dyDescent="0.25">
      <c r="A6" s="16" t="str">
        <v>Viento</v>
      </c>
      <c r="B6" s="5">
        <v>16</v>
      </c>
      <c r="C6" s="5" t="str">
        <v>ELO</v>
      </c>
      <c r="D6" s="25" t="str">
        <v>Exceso de Viento</v>
      </c>
      <c r="E6" s="5" t="str">
        <v>Viento</v>
      </c>
      <c r="F6" s="5" t="str">
        <v>Dársenas (zona de maniobra y reviro)</v>
      </c>
      <c r="G6" s="5" t="str">
        <v>Activo físico</v>
      </c>
      <c r="H6" s="5">
        <v>10</v>
      </c>
      <c r="I6" s="5" t="str">
        <v/>
      </c>
      <c r="J6" s="5" t="str">
        <v/>
      </c>
      <c r="K6" s="5" t="str">
        <v/>
      </c>
      <c r="L6" s="5" t="str">
        <v/>
      </c>
      <c r="M6" s="5" t="str">
        <v/>
      </c>
      <c r="N6" s="5" t="str">
        <v/>
      </c>
      <c r="O6" s="5" t="str">
        <v/>
      </c>
      <c r="P6" s="5" t="str">
        <v/>
      </c>
    </row>
    <row r="7" spans="1:16" s="29" customFormat="1" x14ac:dyDescent="0.25">
      <c r="A7" s="22" t="str">
        <v>Viento</v>
      </c>
      <c r="B7" s="23">
        <v>21</v>
      </c>
      <c r="C7" s="23" t="str">
        <v>ELO</v>
      </c>
      <c r="D7" s="27" t="str">
        <v>Exceso de Viento</v>
      </c>
      <c r="E7" s="23" t="str">
        <v>Viento</v>
      </c>
      <c r="F7" s="23" t="str">
        <v>Servicio de prácticos</v>
      </c>
      <c r="G7" s="23" t="str">
        <v>Operacional (servicios)</v>
      </c>
      <c r="H7" s="23">
        <v>17</v>
      </c>
      <c r="I7" s="23" t="str">
        <v/>
      </c>
      <c r="J7" s="23" t="str">
        <v/>
      </c>
      <c r="K7" s="23" t="str">
        <v/>
      </c>
      <c r="L7" s="23" t="str">
        <v/>
      </c>
      <c r="M7" s="23" t="str">
        <v/>
      </c>
      <c r="N7" s="23" t="str">
        <v/>
      </c>
      <c r="O7" s="23" t="str">
        <v/>
      </c>
      <c r="P7" s="23" t="str">
        <v/>
      </c>
    </row>
    <row r="8" spans="1:16" s="29" customFormat="1" x14ac:dyDescent="0.25">
      <c r="A8" s="22" t="str">
        <v>Viento</v>
      </c>
      <c r="B8" s="23">
        <v>24</v>
      </c>
      <c r="C8" s="23" t="str">
        <v>ELO</v>
      </c>
      <c r="D8" s="27" t="str">
        <v>Exceso de Viento</v>
      </c>
      <c r="E8" s="23" t="str">
        <v>Viento</v>
      </c>
      <c r="F8" s="23" t="str">
        <v>Servicio de remolcadores</v>
      </c>
      <c r="G8" s="23" t="str">
        <v>Operacional (servicios)</v>
      </c>
      <c r="H8" s="23">
        <v>17</v>
      </c>
      <c r="I8" s="23" t="str">
        <v/>
      </c>
      <c r="J8" s="23" t="str">
        <v/>
      </c>
      <c r="K8" s="23" t="str">
        <v/>
      </c>
      <c r="L8" s="23" t="str">
        <v/>
      </c>
      <c r="M8" s="23" t="str">
        <v/>
      </c>
      <c r="N8" s="23" t="str">
        <v/>
      </c>
      <c r="O8" s="23" t="str">
        <v/>
      </c>
      <c r="P8" s="23" t="str">
        <v/>
      </c>
    </row>
    <row r="9" spans="1:16" s="29" customFormat="1" x14ac:dyDescent="0.25">
      <c r="A9" s="22" t="str">
        <v>Viento</v>
      </c>
      <c r="B9" s="23">
        <v>27</v>
      </c>
      <c r="C9" s="23" t="str">
        <v>ELO</v>
      </c>
      <c r="D9" s="27" t="str">
        <v>Exceso de Viento</v>
      </c>
      <c r="E9" s="23" t="str">
        <v>Viento</v>
      </c>
      <c r="F9" s="23" t="str">
        <v>Operaciones a flote (bunkering...)</v>
      </c>
      <c r="G9" s="23" t="str">
        <v>Operacional (servicios)</v>
      </c>
      <c r="H9" s="23">
        <v>17</v>
      </c>
      <c r="I9" s="23" t="str">
        <v/>
      </c>
      <c r="J9" s="23" t="str">
        <v/>
      </c>
      <c r="K9" s="23" t="str">
        <v/>
      </c>
      <c r="L9" s="23" t="str">
        <v/>
      </c>
      <c r="M9" s="23" t="str">
        <v/>
      </c>
      <c r="N9" s="23" t="str">
        <v/>
      </c>
      <c r="O9" s="23" t="str">
        <v/>
      </c>
      <c r="P9" s="23" t="str">
        <v/>
      </c>
    </row>
    <row r="10" spans="1:16" x14ac:dyDescent="0.25">
      <c r="A10" s="16" t="str">
        <v>Viento</v>
      </c>
      <c r="B10" s="5">
        <v>61</v>
      </c>
      <c r="C10" s="5" t="str">
        <v>ELO</v>
      </c>
      <c r="D10" s="25" t="str">
        <v>Exceso de viento</v>
      </c>
      <c r="E10" s="5" t="str">
        <v>Viento</v>
      </c>
      <c r="F10" s="5" t="str">
        <v>Edificios de servicios generales (Oficinas, Aduanas, PIF, Control de accesos, etc.)</v>
      </c>
      <c r="G10" s="5" t="str">
        <v>Activo físico</v>
      </c>
      <c r="H10" s="5" t="str">
        <v/>
      </c>
      <c r="I10" s="5" t="str">
        <v/>
      </c>
      <c r="J10" s="5" t="str">
        <v/>
      </c>
      <c r="K10" s="5" t="str">
        <v/>
      </c>
      <c r="L10" s="5" t="str">
        <v/>
      </c>
      <c r="M10" s="5" t="str">
        <v/>
      </c>
      <c r="N10" s="5" t="str">
        <v/>
      </c>
      <c r="O10" s="5" t="str">
        <v/>
      </c>
      <c r="P10" s="5" t="str">
        <v/>
      </c>
    </row>
    <row r="11" spans="1:16" x14ac:dyDescent="0.25">
      <c r="A11" s="16" t="str">
        <v>Viento</v>
      </c>
      <c r="B11" s="5">
        <v>64</v>
      </c>
      <c r="C11" s="5" t="str">
        <v>ELO</v>
      </c>
      <c r="D11" s="25" t="str">
        <v>Exceso de viento</v>
      </c>
      <c r="E11" s="5" t="str">
        <v>Viento</v>
      </c>
      <c r="F11" s="5" t="str">
        <v>Manipulación de mercancía</v>
      </c>
      <c r="G11" s="5" t="str">
        <v>Operacional (servicios)</v>
      </c>
      <c r="H11" s="5" t="str">
        <v/>
      </c>
      <c r="I11" s="5" t="str">
        <v/>
      </c>
      <c r="J11" s="5" t="str">
        <v/>
      </c>
      <c r="K11" s="5" t="str">
        <v/>
      </c>
      <c r="L11" s="5" t="str">
        <v/>
      </c>
      <c r="M11" s="5" t="str">
        <v/>
      </c>
      <c r="N11" s="5" t="str">
        <v/>
      </c>
      <c r="O11" s="5" t="str">
        <v/>
      </c>
      <c r="P11" s="5" t="str">
        <v/>
      </c>
    </row>
    <row r="12" spans="1:16" x14ac:dyDescent="0.25">
      <c r="A12" s="16" t="str">
        <v>Viento</v>
      </c>
      <c r="B12" s="5">
        <v>67</v>
      </c>
      <c r="C12" s="5" t="str">
        <v>ELO</v>
      </c>
      <c r="D12" s="25" t="str">
        <v>Exceso de viento</v>
      </c>
      <c r="E12" s="5" t="str">
        <v>Viento</v>
      </c>
      <c r="F12" s="5" t="str">
        <v>Personal del puerto</v>
      </c>
      <c r="G12" s="5" t="str">
        <v>Operacional (servicios)</v>
      </c>
      <c r="H12" s="5">
        <v>8</v>
      </c>
      <c r="I12" s="5" t="str">
        <v/>
      </c>
      <c r="J12" s="5" t="str">
        <v/>
      </c>
      <c r="K12" s="5" t="str">
        <v/>
      </c>
      <c r="L12" s="5" t="str">
        <v/>
      </c>
      <c r="M12" s="5" t="str">
        <v/>
      </c>
      <c r="N12" s="5" t="str">
        <v/>
      </c>
      <c r="O12" s="5" t="str">
        <v/>
      </c>
      <c r="P12" s="5" t="str">
        <v/>
      </c>
    </row>
    <row r="13" spans="1:16" x14ac:dyDescent="0.25">
      <c r="A13" s="16" t="str">
        <v>Viento</v>
      </c>
      <c r="B13" s="5">
        <v>69</v>
      </c>
      <c r="C13" s="5" t="str">
        <v>ELO</v>
      </c>
      <c r="D13" s="25" t="str">
        <v>Exceso de viento</v>
      </c>
      <c r="E13" s="5" t="str">
        <v>Viento</v>
      </c>
      <c r="F13" s="5" t="str">
        <v>Zonas de Actividad Logística</v>
      </c>
      <c r="G13" s="5" t="str">
        <v>Activo físico</v>
      </c>
      <c r="H13" s="5" t="str">
        <v/>
      </c>
      <c r="I13" s="5" t="str">
        <v/>
      </c>
      <c r="J13" s="5" t="str">
        <v/>
      </c>
      <c r="K13" s="5" t="str">
        <v/>
      </c>
      <c r="L13" s="5" t="str">
        <v/>
      </c>
      <c r="M13" s="5" t="str">
        <v/>
      </c>
      <c r="N13" s="5" t="str">
        <v/>
      </c>
      <c r="O13" s="5" t="str">
        <v/>
      </c>
      <c r="P13" s="5" t="str">
        <v/>
      </c>
    </row>
    <row r="14" spans="1:16" x14ac:dyDescent="0.25">
      <c r="A14" s="16" t="str">
        <v>Viento</v>
      </c>
      <c r="B14" s="5">
        <v>72</v>
      </c>
      <c r="C14" s="5" t="str">
        <v>ELO</v>
      </c>
      <c r="D14" s="25" t="str">
        <v>Exceso de viento</v>
      </c>
      <c r="E14" s="5" t="str">
        <v>Viento</v>
      </c>
      <c r="F14" s="5" t="str">
        <v>Tanques de almacenamiento</v>
      </c>
      <c r="G14" s="5" t="str">
        <v>Activo físico</v>
      </c>
      <c r="H14" s="5" t="str">
        <v/>
      </c>
      <c r="I14" s="5" t="str">
        <v/>
      </c>
      <c r="J14" s="5" t="str">
        <v/>
      </c>
      <c r="K14" s="5" t="str">
        <v/>
      </c>
      <c r="L14" s="5" t="str">
        <v/>
      </c>
      <c r="M14" s="5" t="str">
        <v/>
      </c>
      <c r="N14" s="5" t="str">
        <v/>
      </c>
      <c r="O14" s="5" t="str">
        <v/>
      </c>
      <c r="P14" s="5" t="str">
        <v/>
      </c>
    </row>
    <row r="15" spans="1:16" x14ac:dyDescent="0.25">
      <c r="A15" s="16" t="str">
        <v>Viento</v>
      </c>
      <c r="B15" s="5">
        <v>74</v>
      </c>
      <c r="C15" s="5" t="str">
        <v>ELO</v>
      </c>
      <c r="D15" s="25" t="str">
        <v>Exceso de viento</v>
      </c>
      <c r="E15" s="5" t="str">
        <v>Viento</v>
      </c>
      <c r="F15" s="5" t="str">
        <v>Depósito /Almacenamiento</v>
      </c>
      <c r="G15" s="5" t="str">
        <v>Activo físico</v>
      </c>
      <c r="H15" s="5" t="str">
        <v/>
      </c>
      <c r="I15" s="5" t="str">
        <v/>
      </c>
      <c r="J15" s="5" t="str">
        <v/>
      </c>
      <c r="K15" s="5" t="str">
        <v/>
      </c>
      <c r="L15" s="5" t="str">
        <v/>
      </c>
      <c r="M15" s="5" t="str">
        <v/>
      </c>
      <c r="N15" s="5" t="str">
        <v/>
      </c>
      <c r="O15" s="5" t="str">
        <v/>
      </c>
      <c r="P15" s="5" t="str">
        <v/>
      </c>
    </row>
    <row r="16" spans="1:16" x14ac:dyDescent="0.25">
      <c r="A16" s="16" t="str">
        <v>Viento</v>
      </c>
      <c r="B16" s="5">
        <v>76</v>
      </c>
      <c r="C16" s="5" t="str">
        <v>ELO</v>
      </c>
      <c r="D16" s="25" t="str">
        <v>Exceso de viento</v>
      </c>
      <c r="E16" s="5" t="str">
        <v>Viento</v>
      </c>
      <c r="F16" s="5" t="str">
        <v>Grúas de muelle</v>
      </c>
      <c r="G16" s="5" t="str">
        <v>Activo físico</v>
      </c>
      <c r="H16" s="5" t="str">
        <v/>
      </c>
      <c r="I16" s="5" t="str">
        <v/>
      </c>
      <c r="J16" s="5" t="str">
        <v/>
      </c>
      <c r="K16" s="5" t="str">
        <v/>
      </c>
      <c r="L16" s="5" t="str">
        <v/>
      </c>
      <c r="M16" s="5" t="str">
        <v/>
      </c>
      <c r="N16" s="5" t="str">
        <v/>
      </c>
      <c r="O16" s="5" t="str">
        <v/>
      </c>
      <c r="P16" s="5" t="str">
        <v/>
      </c>
    </row>
    <row r="17" spans="1:16" x14ac:dyDescent="0.25">
      <c r="A17" s="16" t="str">
        <v>Viento</v>
      </c>
      <c r="B17" s="5">
        <v>84</v>
      </c>
      <c r="C17" s="5" t="str">
        <v>ELO</v>
      </c>
      <c r="D17" s="25" t="str">
        <v>Exceso de viento</v>
      </c>
      <c r="E17" s="5" t="str">
        <v>Viento</v>
      </c>
      <c r="F17" s="5" t="str">
        <v>Medios de embarque / desembarque (pasarelas, etc)</v>
      </c>
      <c r="G17" s="5" t="str">
        <v>Activo físico</v>
      </c>
      <c r="H17" s="5" t="str">
        <v/>
      </c>
      <c r="I17" s="5" t="str">
        <v/>
      </c>
      <c r="J17" s="5" t="str">
        <v/>
      </c>
      <c r="K17" s="5" t="str">
        <v/>
      </c>
      <c r="L17" s="5" t="str">
        <v/>
      </c>
      <c r="M17" s="5" t="str">
        <v/>
      </c>
      <c r="N17" s="5" t="str">
        <v/>
      </c>
      <c r="O17" s="5" t="str">
        <v/>
      </c>
      <c r="P17" s="5" t="str">
        <v/>
      </c>
    </row>
    <row r="18" spans="1:16" x14ac:dyDescent="0.25">
      <c r="A18" s="16" t="str">
        <v>Viento</v>
      </c>
      <c r="B18" s="5">
        <v>88</v>
      </c>
      <c r="C18" s="5" t="str">
        <v>ELO</v>
      </c>
      <c r="D18" s="25" t="str">
        <v>Exceso de viento</v>
      </c>
      <c r="E18" s="5" t="str">
        <v>Viento</v>
      </c>
      <c r="F18" s="5" t="str">
        <v>Suministros al pesquero (agua, combustible y hielo)</v>
      </c>
      <c r="G18" s="5" t="str">
        <v>Operacional (servicios)</v>
      </c>
      <c r="H18" s="5" t="str">
        <v/>
      </c>
      <c r="I18" s="5" t="str">
        <v/>
      </c>
      <c r="J18" s="5" t="str">
        <v/>
      </c>
      <c r="K18" s="5" t="str">
        <v/>
      </c>
      <c r="L18" s="5" t="str">
        <v/>
      </c>
      <c r="M18" s="5" t="str">
        <v/>
      </c>
      <c r="N18" s="5" t="str">
        <v/>
      </c>
      <c r="O18" s="5" t="str">
        <v/>
      </c>
      <c r="P18" s="5" t="str">
        <v/>
      </c>
    </row>
    <row r="19" spans="1:16" x14ac:dyDescent="0.25">
      <c r="A19" s="16" t="str">
        <v>Viento</v>
      </c>
      <c r="B19" s="5">
        <v>90</v>
      </c>
      <c r="C19" s="5" t="str">
        <v>ELO</v>
      </c>
      <c r="D19" s="25" t="str">
        <v>Exceso de viento</v>
      </c>
      <c r="E19" s="5" t="str">
        <v>Viento</v>
      </c>
      <c r="F19" s="5" t="str">
        <v>Lonja</v>
      </c>
      <c r="G19" s="5" t="str">
        <v>Activo físico</v>
      </c>
      <c r="H19" s="5" t="str">
        <v/>
      </c>
      <c r="I19" s="5" t="str">
        <v/>
      </c>
      <c r="J19" s="5" t="str">
        <v/>
      </c>
      <c r="K19" s="5" t="str">
        <v/>
      </c>
      <c r="L19" s="5" t="str">
        <v/>
      </c>
      <c r="M19" s="5" t="str">
        <v/>
      </c>
      <c r="N19" s="5" t="str">
        <v/>
      </c>
      <c r="O19" s="5" t="str">
        <v/>
      </c>
      <c r="P19" s="5" t="str">
        <v/>
      </c>
    </row>
    <row r="20" spans="1:16" x14ac:dyDescent="0.25">
      <c r="A20" s="16" t="str">
        <v>Viento</v>
      </c>
      <c r="B20" s="5">
        <v>93</v>
      </c>
      <c r="C20" s="5" t="str">
        <v>ELO</v>
      </c>
      <c r="D20" s="25" t="str">
        <v>Exceso de viento</v>
      </c>
      <c r="E20" s="5" t="str">
        <v>Viento</v>
      </c>
      <c r="F20" s="5" t="str">
        <v>Equipamientos culturales o deportivos</v>
      </c>
      <c r="G20" s="5" t="str">
        <v>Activo físico</v>
      </c>
      <c r="H20" s="5" t="str">
        <v/>
      </c>
      <c r="I20" s="5" t="str">
        <v/>
      </c>
      <c r="J20" s="5" t="str">
        <v/>
      </c>
      <c r="K20" s="5" t="str">
        <v/>
      </c>
      <c r="L20" s="5" t="str">
        <v/>
      </c>
      <c r="M20" s="5" t="str">
        <v/>
      </c>
      <c r="N20" s="5" t="str">
        <v/>
      </c>
      <c r="O20" s="5" t="str">
        <v/>
      </c>
      <c r="P20" s="5" t="str">
        <v/>
      </c>
    </row>
    <row r="21" spans="1:16" x14ac:dyDescent="0.25">
      <c r="A21" s="16" t="str">
        <v>Viento</v>
      </c>
      <c r="B21" s="5">
        <v>116</v>
      </c>
      <c r="C21" s="5" t="str">
        <v>ELS</v>
      </c>
      <c r="D21" s="25" t="str">
        <v>Daño debido a viento</v>
      </c>
      <c r="E21" s="5" t="str">
        <v>Viento</v>
      </c>
      <c r="F21" s="5" t="str">
        <v>Edificios de servicios generales (Oficinas, Aduanas, PIF, Control de accesos, etc.)</v>
      </c>
      <c r="G21" s="5" t="str">
        <v>Activo físico</v>
      </c>
      <c r="H21" s="5" t="str">
        <v/>
      </c>
      <c r="I21" s="5" t="str">
        <v/>
      </c>
      <c r="J21" s="5" t="str">
        <v/>
      </c>
      <c r="K21" s="5" t="str">
        <v/>
      </c>
      <c r="L21" s="5" t="str">
        <v/>
      </c>
      <c r="M21" s="5" t="str">
        <v/>
      </c>
      <c r="N21" s="5" t="str">
        <v/>
      </c>
      <c r="O21" s="5" t="str">
        <v/>
      </c>
      <c r="P21" s="5" t="str">
        <v/>
      </c>
    </row>
    <row r="22" spans="1:16" x14ac:dyDescent="0.25">
      <c r="A22" s="16" t="str">
        <v>Viento</v>
      </c>
      <c r="B22" s="5">
        <v>119</v>
      </c>
      <c r="C22" s="5" t="str">
        <v>ELS</v>
      </c>
      <c r="D22" s="25" t="str">
        <v>Daño debido a viento</v>
      </c>
      <c r="E22" s="5" t="str">
        <v>Viento</v>
      </c>
      <c r="F22" s="5" t="str">
        <v>Zonas de Actividad Logística</v>
      </c>
      <c r="G22" s="5" t="str">
        <v>Activo físico</v>
      </c>
      <c r="H22" s="5" t="str">
        <v/>
      </c>
      <c r="I22" s="5" t="str">
        <v/>
      </c>
      <c r="J22" s="5" t="str">
        <v/>
      </c>
      <c r="K22" s="5" t="str">
        <v/>
      </c>
      <c r="L22" s="5" t="str">
        <v/>
      </c>
      <c r="M22" s="5" t="str">
        <v/>
      </c>
      <c r="N22" s="5" t="str">
        <v/>
      </c>
      <c r="O22" s="5" t="str">
        <v/>
      </c>
      <c r="P22" s="5" t="str">
        <v/>
      </c>
    </row>
    <row r="23" spans="1:16" x14ac:dyDescent="0.25">
      <c r="A23" s="16" t="str">
        <v>Viento</v>
      </c>
      <c r="B23" s="5">
        <v>122</v>
      </c>
      <c r="C23" s="5" t="str">
        <v>ELS</v>
      </c>
      <c r="D23" s="25" t="str">
        <v>Daño debido a viento</v>
      </c>
      <c r="E23" s="5" t="str">
        <v>Viento</v>
      </c>
      <c r="F23" s="5" t="str">
        <v>Astilleros, diques secos, varaderos</v>
      </c>
      <c r="G23" s="5" t="str">
        <v>Activo físico</v>
      </c>
      <c r="H23" s="5" t="str">
        <v/>
      </c>
      <c r="I23" s="5" t="str">
        <v/>
      </c>
      <c r="J23" s="5" t="str">
        <v/>
      </c>
      <c r="K23" s="5" t="str">
        <v/>
      </c>
      <c r="L23" s="5" t="str">
        <v/>
      </c>
      <c r="M23" s="5" t="str">
        <v/>
      </c>
      <c r="N23" s="5" t="str">
        <v/>
      </c>
      <c r="O23" s="5" t="str">
        <v/>
      </c>
      <c r="P23" s="5" t="str">
        <v/>
      </c>
    </row>
    <row r="24" spans="1:16" x14ac:dyDescent="0.25">
      <c r="A24" s="16" t="str">
        <v>Viento</v>
      </c>
      <c r="B24" s="5">
        <v>124</v>
      </c>
      <c r="C24" s="5" t="str">
        <v>ELS</v>
      </c>
      <c r="D24" s="25" t="str">
        <v>Daño debido a viento</v>
      </c>
      <c r="E24" s="5" t="str">
        <v>Viento</v>
      </c>
      <c r="F24" s="5" t="str">
        <v>Tanques de almacenamiento</v>
      </c>
      <c r="G24" s="5" t="str">
        <v>Activo físico</v>
      </c>
      <c r="H24" s="5" t="str">
        <v/>
      </c>
      <c r="I24" s="5" t="str">
        <v/>
      </c>
      <c r="J24" s="5" t="str">
        <v/>
      </c>
      <c r="K24" s="5" t="str">
        <v/>
      </c>
      <c r="L24" s="5" t="str">
        <v/>
      </c>
      <c r="M24" s="5" t="str">
        <v/>
      </c>
      <c r="N24" s="5" t="str">
        <v/>
      </c>
      <c r="O24" s="5" t="str">
        <v/>
      </c>
      <c r="P24" s="5" t="str">
        <v/>
      </c>
    </row>
    <row r="25" spans="1:16" x14ac:dyDescent="0.25">
      <c r="A25" s="16" t="str">
        <v>Viento</v>
      </c>
      <c r="B25" s="5">
        <v>126</v>
      </c>
      <c r="C25" s="5" t="str">
        <v>ELS</v>
      </c>
      <c r="D25" s="25" t="str">
        <v>Daño debido a viento</v>
      </c>
      <c r="E25" s="5" t="str">
        <v>Viento</v>
      </c>
      <c r="F25" s="5" t="str">
        <v>Medios de carga/descarga</v>
      </c>
      <c r="G25" s="5" t="str">
        <v>Activo físico</v>
      </c>
      <c r="H25" s="5" t="str">
        <v/>
      </c>
      <c r="I25" s="5" t="str">
        <v/>
      </c>
      <c r="J25" s="5" t="str">
        <v/>
      </c>
      <c r="K25" s="5" t="str">
        <v/>
      </c>
      <c r="L25" s="5" t="str">
        <v/>
      </c>
      <c r="M25" s="5" t="str">
        <v/>
      </c>
      <c r="N25" s="5" t="str">
        <v/>
      </c>
      <c r="O25" s="5" t="str">
        <v/>
      </c>
      <c r="P25" s="5" t="str">
        <v/>
      </c>
    </row>
    <row r="26" spans="1:16" x14ac:dyDescent="0.25">
      <c r="A26" s="16" t="str">
        <v>Viento</v>
      </c>
      <c r="B26" s="5">
        <v>128</v>
      </c>
      <c r="C26" s="5" t="str">
        <v>ELS</v>
      </c>
      <c r="D26" s="25" t="str">
        <v>Daño debido a viento</v>
      </c>
      <c r="E26" s="5" t="str">
        <v>Viento</v>
      </c>
      <c r="F26" s="5" t="str">
        <v>Tolvas y cintas transportadoras</v>
      </c>
      <c r="G26" s="5" t="str">
        <v>Activo físico</v>
      </c>
      <c r="H26" s="5" t="str">
        <v/>
      </c>
      <c r="I26" s="5" t="str">
        <v/>
      </c>
      <c r="J26" s="5" t="str">
        <v/>
      </c>
      <c r="K26" s="5" t="str">
        <v/>
      </c>
      <c r="L26" s="5" t="str">
        <v/>
      </c>
      <c r="M26" s="5" t="str">
        <v/>
      </c>
      <c r="N26" s="5" t="str">
        <v/>
      </c>
      <c r="O26" s="5" t="str">
        <v/>
      </c>
      <c r="P26" s="5" t="str">
        <v/>
      </c>
    </row>
    <row r="27" spans="1:16" x14ac:dyDescent="0.25">
      <c r="A27" s="16" t="str">
        <v>Viento</v>
      </c>
      <c r="B27" s="5">
        <v>131</v>
      </c>
      <c r="C27" s="5" t="str">
        <v>ELS</v>
      </c>
      <c r="D27" s="25" t="str">
        <v>Daño debido a viento</v>
      </c>
      <c r="E27" s="5" t="str">
        <v>Viento</v>
      </c>
      <c r="F27" s="5" t="str">
        <v>Depósito /Almacenamiento</v>
      </c>
      <c r="G27" s="5" t="str">
        <v>Activo físico</v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</row>
    <row r="28" spans="1:16" x14ac:dyDescent="0.25">
      <c r="A28" s="16" t="str">
        <v>Viento</v>
      </c>
      <c r="B28" s="5">
        <v>132</v>
      </c>
      <c r="C28" s="5" t="str">
        <v>ELS</v>
      </c>
      <c r="D28" s="25" t="str">
        <v>Daño debido a viento</v>
      </c>
      <c r="E28" s="5" t="str">
        <v>Viento</v>
      </c>
      <c r="F28" s="5" t="str">
        <v>Grúas de muelle</v>
      </c>
      <c r="G28" s="5" t="str">
        <v>Activo físico</v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</row>
    <row r="29" spans="1:16" x14ac:dyDescent="0.25">
      <c r="A29" s="16" t="str">
        <v>Viento</v>
      </c>
      <c r="B29" s="5">
        <v>142</v>
      </c>
      <c r="C29" s="5" t="str">
        <v>ELS</v>
      </c>
      <c r="D29" s="25" t="str">
        <v>Daño debido a viento</v>
      </c>
      <c r="E29" s="5" t="str">
        <v>Viento</v>
      </c>
      <c r="F29" s="5" t="str">
        <v>Lonja</v>
      </c>
      <c r="G29" s="5" t="str">
        <v>Activo físico</v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</row>
    <row r="30" spans="1:16" x14ac:dyDescent="0.25">
      <c r="A30" s="16" t="str">
        <v>Viento</v>
      </c>
      <c r="B30" s="5">
        <v>145</v>
      </c>
      <c r="C30" s="5" t="str">
        <v>ELS</v>
      </c>
      <c r="D30" s="25" t="str">
        <v>Daño debido a viento</v>
      </c>
      <c r="E30" s="5" t="str">
        <v>Viento</v>
      </c>
      <c r="F30" s="5" t="str">
        <v>Servicio de marinas y puertos deportivos</v>
      </c>
      <c r="G30" s="5" t="str">
        <v>Operacional (servicios)</v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</row>
    <row r="31" spans="1:16" x14ac:dyDescent="0.25">
      <c r="A31" s="16" t="str">
        <v>Viento</v>
      </c>
      <c r="B31" s="5">
        <v>147</v>
      </c>
      <c r="C31" s="5" t="str">
        <v>ELS</v>
      </c>
      <c r="D31" s="25" t="str">
        <v>Por viento</v>
      </c>
      <c r="E31" s="5" t="str">
        <v>Viento</v>
      </c>
      <c r="F31" s="5" t="str">
        <v>Accesos peatonales, Paseo marítimo y carril bici</v>
      </c>
      <c r="G31" s="5" t="str">
        <v>Activo físico</v>
      </c>
      <c r="H31" s="5" t="str">
        <v/>
      </c>
      <c r="I31" s="5" t="str">
        <v/>
      </c>
      <c r="J31" s="5" t="str">
        <v/>
      </c>
      <c r="K31" s="5" t="str">
        <v/>
      </c>
      <c r="L31" s="5" t="str">
        <v/>
      </c>
      <c r="M31" s="5" t="str">
        <v/>
      </c>
      <c r="N31" s="5" t="str">
        <v/>
      </c>
      <c r="O31" s="5" t="str">
        <v/>
      </c>
      <c r="P31" s="5" t="str">
        <v/>
      </c>
    </row>
    <row r="32" spans="1:16" x14ac:dyDescent="0.25">
      <c r="A32" s="16" t="str">
        <v>Viento</v>
      </c>
      <c r="B32" s="5">
        <v>150</v>
      </c>
      <c r="C32" s="5" t="str">
        <v>ELS</v>
      </c>
      <c r="D32" s="25" t="str">
        <v>Daño debido a viento</v>
      </c>
      <c r="E32" s="5" t="str">
        <v>Viento</v>
      </c>
      <c r="F32" s="5" t="str">
        <v>Equipamientos culturales o deportivos</v>
      </c>
      <c r="G32" s="5" t="str">
        <v>Activo físico</v>
      </c>
      <c r="H32" s="5" t="str">
        <v/>
      </c>
      <c r="I32" s="5" t="str">
        <v/>
      </c>
      <c r="J32" s="5" t="str">
        <v/>
      </c>
      <c r="K32" s="5" t="str">
        <v/>
      </c>
      <c r="L32" s="5" t="str">
        <v/>
      </c>
      <c r="M32" s="5" t="str">
        <v/>
      </c>
      <c r="N32" s="5" t="str">
        <v/>
      </c>
      <c r="O32" s="5" t="str">
        <v/>
      </c>
      <c r="P32" s="5" t="str">
        <v/>
      </c>
    </row>
    <row r="33" spans="1:16" x14ac:dyDescent="0.25">
      <c r="A33" s="16" t="str">
        <v>Viento</v>
      </c>
      <c r="B33" s="5">
        <v>170</v>
      </c>
      <c r="C33" s="5" t="str">
        <v>ELU</v>
      </c>
      <c r="D33" s="25" t="str">
        <v>Daño debido a viento</v>
      </c>
      <c r="E33" s="5" t="str">
        <v>Viento</v>
      </c>
      <c r="F33" s="5" t="str">
        <v>Alumbrado</v>
      </c>
      <c r="G33" s="5" t="str">
        <v>Activo físico</v>
      </c>
      <c r="H33" s="5" t="str">
        <v/>
      </c>
      <c r="I33" s="5" t="str">
        <v/>
      </c>
      <c r="J33" s="5" t="str">
        <v/>
      </c>
      <c r="K33" s="5" t="str">
        <v/>
      </c>
      <c r="L33" s="5" t="str">
        <v/>
      </c>
      <c r="M33" s="5" t="str">
        <v/>
      </c>
      <c r="N33" s="5" t="str">
        <v/>
      </c>
      <c r="O33" s="5" t="str">
        <v/>
      </c>
      <c r="P33" s="5" t="str">
        <v/>
      </c>
    </row>
    <row r="34" spans="1:16" x14ac:dyDescent="0.25">
      <c r="A34" s="16" t="str">
        <v>Viento</v>
      </c>
      <c r="B34" s="5">
        <v>171</v>
      </c>
      <c r="C34" s="5" t="str">
        <v>ELU</v>
      </c>
      <c r="D34" s="25" t="str">
        <v>Daño debido a viento</v>
      </c>
      <c r="E34" s="5" t="str">
        <v>Viento</v>
      </c>
      <c r="F34" s="5" t="str">
        <v>Edificios de servicios generales (Oficinas, Aduanas, PIF, Control de accesos, etc.)</v>
      </c>
      <c r="G34" s="5" t="str">
        <v>Activo físico</v>
      </c>
      <c r="H34" s="5" t="str">
        <v/>
      </c>
      <c r="I34" s="5" t="str">
        <v/>
      </c>
      <c r="J34" s="5" t="str">
        <v/>
      </c>
      <c r="K34" s="5" t="str">
        <v/>
      </c>
      <c r="L34" s="5" t="str">
        <v/>
      </c>
      <c r="M34" s="5" t="str">
        <v/>
      </c>
      <c r="N34" s="5" t="str">
        <v/>
      </c>
      <c r="O34" s="5" t="str">
        <v/>
      </c>
      <c r="P34" s="5" t="str">
        <v/>
      </c>
    </row>
    <row r="35" spans="1:16" x14ac:dyDescent="0.25">
      <c r="A35" s="16" t="str">
        <v>Viento</v>
      </c>
      <c r="B35" s="5">
        <v>172</v>
      </c>
      <c r="C35" s="5" t="str">
        <v>ELU</v>
      </c>
      <c r="D35" s="25" t="str">
        <v>Daño debido a viento</v>
      </c>
      <c r="E35" s="5" t="str">
        <v>Viento</v>
      </c>
      <c r="F35" s="5" t="str">
        <v>Zonas de Actividad Logística</v>
      </c>
      <c r="G35" s="5" t="str">
        <v>Activo físico</v>
      </c>
      <c r="H35" s="5" t="str">
        <v/>
      </c>
      <c r="I35" s="5" t="str">
        <v/>
      </c>
      <c r="J35" s="5" t="str">
        <v/>
      </c>
      <c r="K35" s="5" t="str">
        <v/>
      </c>
      <c r="L35" s="5" t="str">
        <v/>
      </c>
      <c r="M35" s="5" t="str">
        <v/>
      </c>
      <c r="N35" s="5" t="str">
        <v/>
      </c>
      <c r="O35" s="5" t="str">
        <v/>
      </c>
      <c r="P35" s="5" t="str">
        <v/>
      </c>
    </row>
    <row r="36" spans="1:16" x14ac:dyDescent="0.25">
      <c r="A36" s="16" t="str">
        <v>Viento</v>
      </c>
      <c r="B36" s="5">
        <v>173</v>
      </c>
      <c r="C36" s="5" t="str">
        <v>ELU</v>
      </c>
      <c r="D36" s="25" t="str">
        <v>Daño debido a viento</v>
      </c>
      <c r="E36" s="5" t="str">
        <v>Viento</v>
      </c>
      <c r="F36" s="5" t="str">
        <v>Tanques de almacenamiento</v>
      </c>
      <c r="G36" s="5" t="str">
        <v>Activo físico</v>
      </c>
      <c r="H36" s="5" t="str">
        <v/>
      </c>
      <c r="I36" s="5" t="str">
        <v/>
      </c>
      <c r="J36" s="5" t="str">
        <v/>
      </c>
      <c r="K36" s="5" t="str">
        <v/>
      </c>
      <c r="L36" s="5" t="str">
        <v/>
      </c>
      <c r="M36" s="5" t="str">
        <v/>
      </c>
      <c r="N36" s="5" t="str">
        <v/>
      </c>
      <c r="O36" s="5" t="str">
        <v/>
      </c>
      <c r="P36" s="5" t="str">
        <v/>
      </c>
    </row>
    <row r="37" spans="1:16" x14ac:dyDescent="0.25">
      <c r="A37" s="16" t="str">
        <v>Viento</v>
      </c>
      <c r="B37" s="5">
        <v>174</v>
      </c>
      <c r="C37" s="5" t="str">
        <v>ELU</v>
      </c>
      <c r="D37" s="25" t="str">
        <v>Daño debido a viento</v>
      </c>
      <c r="E37" s="5" t="str">
        <v>Viento</v>
      </c>
      <c r="F37" s="5" t="str">
        <v>Medios de carga/descarga</v>
      </c>
      <c r="G37" s="5" t="str">
        <v>Activo físico</v>
      </c>
      <c r="H37" s="5" t="str">
        <v/>
      </c>
      <c r="I37" s="5" t="str">
        <v/>
      </c>
      <c r="J37" s="5" t="str">
        <v/>
      </c>
      <c r="K37" s="5" t="str">
        <v/>
      </c>
      <c r="L37" s="5" t="str">
        <v/>
      </c>
      <c r="M37" s="5" t="str">
        <v/>
      </c>
      <c r="N37" s="5" t="str">
        <v/>
      </c>
      <c r="O37" s="5" t="str">
        <v/>
      </c>
      <c r="P37" s="5" t="str">
        <v/>
      </c>
    </row>
    <row r="38" spans="1:16" x14ac:dyDescent="0.25">
      <c r="A38" s="16" t="str">
        <v>Viento</v>
      </c>
      <c r="B38" s="5">
        <v>175</v>
      </c>
      <c r="C38" s="5" t="str">
        <v>ELU</v>
      </c>
      <c r="D38" s="25" t="str">
        <v>Daño debido a viento</v>
      </c>
      <c r="E38" s="5" t="str">
        <v>Viento</v>
      </c>
      <c r="F38" s="5" t="str">
        <v>Tolvas y cintas transportadoras</v>
      </c>
      <c r="G38" s="5" t="str">
        <v>Activo físico</v>
      </c>
      <c r="H38" s="5" t="str">
        <v/>
      </c>
      <c r="I38" s="5" t="str">
        <v/>
      </c>
      <c r="J38" s="5" t="str">
        <v/>
      </c>
      <c r="K38" s="5" t="str">
        <v/>
      </c>
      <c r="L38" s="5" t="str">
        <v/>
      </c>
      <c r="M38" s="5" t="str">
        <v/>
      </c>
      <c r="N38" s="5" t="str">
        <v/>
      </c>
      <c r="O38" s="5" t="str">
        <v/>
      </c>
      <c r="P38" s="5" t="str">
        <v/>
      </c>
    </row>
    <row r="39" spans="1:16" x14ac:dyDescent="0.25">
      <c r="A39" s="16" t="str">
        <v>Viento</v>
      </c>
      <c r="B39" s="5">
        <v>176</v>
      </c>
      <c r="C39" s="5" t="str">
        <v>ELU</v>
      </c>
      <c r="D39" s="25" t="str">
        <v>Daño debido a viento</v>
      </c>
      <c r="E39" s="5" t="str">
        <v>Viento</v>
      </c>
      <c r="F39" s="5" t="str">
        <v>Depósito /Almacenamiento</v>
      </c>
      <c r="G39" s="5" t="str">
        <v>Activo físico</v>
      </c>
      <c r="H39" s="5" t="str">
        <v/>
      </c>
      <c r="I39" s="5" t="str">
        <v/>
      </c>
      <c r="J39" s="5" t="str">
        <v/>
      </c>
      <c r="K39" s="5" t="str">
        <v/>
      </c>
      <c r="L39" s="5" t="str">
        <v/>
      </c>
      <c r="M39" s="5" t="str">
        <v/>
      </c>
      <c r="N39" s="5" t="str">
        <v/>
      </c>
      <c r="O39" s="5" t="str">
        <v/>
      </c>
      <c r="P39" s="5" t="str">
        <v/>
      </c>
    </row>
    <row r="40" spans="1:16" x14ac:dyDescent="0.25">
      <c r="A40" s="16" t="str">
        <v>Viento</v>
      </c>
      <c r="B40" s="5">
        <v>177</v>
      </c>
      <c r="C40" s="5" t="str">
        <v>ELU</v>
      </c>
      <c r="D40" s="25" t="str">
        <v>Daño debido a viento</v>
      </c>
      <c r="E40" s="5" t="str">
        <v>Viento</v>
      </c>
      <c r="F40" s="5" t="str">
        <v>Grúas de muelle</v>
      </c>
      <c r="G40" s="5" t="str">
        <v>Activo físico</v>
      </c>
      <c r="H40" s="5" t="str">
        <v/>
      </c>
      <c r="I40" s="5" t="str">
        <v/>
      </c>
      <c r="J40" s="5" t="str">
        <v/>
      </c>
      <c r="K40" s="5" t="str">
        <v/>
      </c>
      <c r="L40" s="5" t="str">
        <v/>
      </c>
      <c r="M40" s="5" t="str">
        <v/>
      </c>
      <c r="N40" s="5" t="str">
        <v/>
      </c>
      <c r="O40" s="5" t="str">
        <v/>
      </c>
      <c r="P40" s="5" t="str">
        <v/>
      </c>
    </row>
    <row r="41" spans="1:16" x14ac:dyDescent="0.25">
      <c r="A41" s="16" t="str">
        <v>Viento</v>
      </c>
      <c r="B41" s="5">
        <v>178</v>
      </c>
      <c r="C41" s="5" t="str">
        <v>ELU</v>
      </c>
      <c r="D41" s="25" t="str">
        <v>Daño debido a viento</v>
      </c>
      <c r="E41" s="5" t="str">
        <v>Viento</v>
      </c>
      <c r="F41" s="5" t="str">
        <v>Grúa de muelle</v>
      </c>
      <c r="G41" s="5" t="str">
        <v>Activo físico</v>
      </c>
      <c r="H41" s="5" t="str">
        <v/>
      </c>
      <c r="I41" s="5" t="str">
        <v/>
      </c>
      <c r="J41" s="5" t="str">
        <v/>
      </c>
      <c r="K41" s="5" t="str">
        <v/>
      </c>
      <c r="L41" s="5" t="str">
        <v/>
      </c>
      <c r="M41" s="5" t="str">
        <v/>
      </c>
      <c r="N41" s="5" t="str">
        <v/>
      </c>
      <c r="O41" s="5" t="str">
        <v/>
      </c>
      <c r="P41" s="5" t="str">
        <v/>
      </c>
    </row>
    <row r="42" spans="1:16" x14ac:dyDescent="0.25">
      <c r="A42" s="16" t="str">
        <v>Viento</v>
      </c>
      <c r="B42" s="5">
        <v>179</v>
      </c>
      <c r="C42" s="5" t="str">
        <v>ELU</v>
      </c>
      <c r="D42" s="25" t="str">
        <v>Daño debido a viento</v>
      </c>
      <c r="E42" s="5" t="str">
        <v>Viento</v>
      </c>
      <c r="F42" s="5" t="str">
        <v>Lonja</v>
      </c>
      <c r="G42" s="5" t="str">
        <v>Activo físico</v>
      </c>
      <c r="H42" s="5" t="str">
        <v/>
      </c>
      <c r="I42" s="5" t="str">
        <v/>
      </c>
      <c r="J42" s="5" t="str">
        <v/>
      </c>
      <c r="K42" s="5" t="str">
        <v/>
      </c>
      <c r="L42" s="5" t="str">
        <v/>
      </c>
      <c r="M42" s="5" t="str">
        <v/>
      </c>
      <c r="N42" s="5" t="str">
        <v/>
      </c>
      <c r="O42" s="5" t="str">
        <v/>
      </c>
      <c r="P42" s="5" t="str">
        <v/>
      </c>
    </row>
    <row r="43" spans="1:16" x14ac:dyDescent="0.25">
      <c r="A43" s="16" t="str">
        <v>Viento</v>
      </c>
      <c r="B43" s="5">
        <v>180</v>
      </c>
      <c r="C43" s="5" t="str">
        <v>ELU</v>
      </c>
      <c r="D43" s="25" t="str">
        <v>Daño debido a viento</v>
      </c>
      <c r="E43" s="5" t="str">
        <v>Viento</v>
      </c>
      <c r="F43" s="5" t="str">
        <v>Servicio de marinas y puertos deportivos</v>
      </c>
      <c r="G43" s="5" t="str">
        <v>Operacional (servicios)</v>
      </c>
      <c r="H43" s="5" t="str">
        <v/>
      </c>
      <c r="I43" s="5" t="str">
        <v/>
      </c>
      <c r="J43" s="5" t="str">
        <v/>
      </c>
      <c r="K43" s="5" t="str">
        <v/>
      </c>
      <c r="L43" s="5" t="str">
        <v/>
      </c>
      <c r="M43" s="5" t="str">
        <v/>
      </c>
      <c r="N43" s="5" t="str">
        <v/>
      </c>
      <c r="O43" s="5" t="str">
        <v/>
      </c>
      <c r="P43" s="5" t="str">
        <v/>
      </c>
    </row>
    <row r="44" spans="1:16" x14ac:dyDescent="0.25">
      <c r="A44" t="str">
        <v>Viento</v>
      </c>
      <c r="B44">
        <v>181</v>
      </c>
      <c r="C44" t="str">
        <v>ELU</v>
      </c>
      <c r="D44" t="str">
        <v>Daño debido a viento</v>
      </c>
      <c r="E44" s="5" t="str">
        <v>Viento</v>
      </c>
      <c r="F44" s="5" t="str">
        <v>Equipamientos culturales o deportivos</v>
      </c>
      <c r="G44" s="5" t="str">
        <v>Activo físico</v>
      </c>
      <c r="H44" s="5" t="str">
        <v/>
      </c>
      <c r="I44" s="5" t="str">
        <v/>
      </c>
      <c r="J44" s="5" t="str">
        <v/>
      </c>
      <c r="K44" s="5" t="str">
        <v/>
      </c>
      <c r="L44" s="5" t="str">
        <v/>
      </c>
      <c r="M44" s="5" t="str">
        <v/>
      </c>
      <c r="N44" s="5" t="str">
        <v/>
      </c>
      <c r="O44" s="5" t="str">
        <v/>
      </c>
      <c r="P44" s="5" t="str">
        <v/>
      </c>
    </row>
  </sheetData>
  <autoFilter ref="A1:P43" xr:uid="{F80F02DE-4A4D-48A2-9CC4-F71B71CC56F3}"/>
  <pageMargins left="0.7" right="0.7" top="0.75" bottom="0.75" header="0.3" footer="0.3"/>
  <pageSetup paperSize="9" scale="2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2794-6F40-4BCE-8071-F0737E744B7F}">
  <dimension ref="A1:P11"/>
  <sheetViews>
    <sheetView view="pageBreakPreview" topLeftCell="E1" zoomScale="115" zoomScaleNormal="100" zoomScaleSheetLayoutView="115" workbookViewId="0">
      <selection activeCell="I18" sqref="I18"/>
    </sheetView>
  </sheetViews>
  <sheetFormatPr baseColWidth="10" defaultRowHeight="15" x14ac:dyDescent="0.25"/>
  <cols>
    <col min="2" max="2" width="20.28515625" bestFit="1" customWidth="1"/>
    <col min="3" max="3" width="17.5703125" bestFit="1" customWidth="1"/>
    <col min="4" max="4" width="36.28515625" bestFit="1" customWidth="1"/>
    <col min="5" max="5" width="11.28515625" bestFit="1" customWidth="1"/>
    <col min="6" max="6" width="54.140625" bestFit="1" customWidth="1"/>
    <col min="7" max="7" width="24.7109375" bestFit="1" customWidth="1"/>
    <col min="8" max="8" width="19.85546875" bestFit="1" customWidth="1"/>
    <col min="9" max="10" width="9" bestFit="1" customWidth="1"/>
    <col min="12" max="12" width="48.28515625" bestFit="1" customWidth="1"/>
    <col min="13" max="14" width="9.42578125" bestFit="1" customWidth="1"/>
    <col min="15" max="15" width="17.42578125" bestFit="1" customWidth="1"/>
    <col min="16" max="16" width="13.5703125" bestFit="1" customWidth="1"/>
  </cols>
  <sheetData>
    <row r="1" spans="1:16" s="10" customFormat="1" ht="45" x14ac:dyDescent="0.25">
      <c r="A1" s="19" t="s">
        <v>121</v>
      </c>
      <c r="B1" s="21" t="s">
        <v>110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1" t="str">
        <f>+_xlfn.CONCAT('ListRelacion impactos-indicador'!$H$1, " (",'ListRelacion impactos-indicador'!$G$7,")")</f>
        <v>Umbral General (km)</v>
      </c>
      <c r="I1" s="12" t="s">
        <v>101</v>
      </c>
      <c r="J1" s="12" t="s">
        <v>102</v>
      </c>
      <c r="K1" s="12" t="s">
        <v>103</v>
      </c>
      <c r="L1" s="11" t="s">
        <v>104</v>
      </c>
      <c r="M1" s="12" t="s">
        <v>105</v>
      </c>
      <c r="N1" s="12" t="s">
        <v>106</v>
      </c>
      <c r="O1" s="11" t="s">
        <v>107</v>
      </c>
      <c r="P1" s="11" t="s">
        <v>108</v>
      </c>
    </row>
    <row r="2" spans="1:16" x14ac:dyDescent="0.25">
      <c r="A2" s="5" t="str" cm="1">
        <f t="array" ref="A2:A11">_xlfn._xlws.FILTER(IF(B2:B176&lt;&gt;"","Visibilidad",""),B2:B176&lt;&gt;"")</f>
        <v>Visibilidad</v>
      </c>
      <c r="B2" s="5" cm="1">
        <f t="array" ref="B2:B11">_xlfn._xlws.FILTER('ListRelacion impactos-indicador'!A2:A182,'ListRelacion impactos-indicador'!$D$2:$D$182="Visibilidad","")</f>
        <v>6</v>
      </c>
      <c r="C2" s="5" t="str" cm="1">
        <f t="array" ref="C2:C11">_xlfn._xlws.FILTER('ListRelacion impactos-indicador'!B2:B182,'ListRelacion impactos-indicador'!$D$2:$D$182="Visibilidad","")</f>
        <v>ELO</v>
      </c>
      <c r="D2" s="5" t="str" cm="1">
        <f t="array" ref="D2:D11">_xlfn._xlws.FILTER('ListRelacion impactos-indicador'!C2:C182,'ListRelacion impactos-indicador'!$D$2:$D$182="Visibilidad","")</f>
        <v>Visibilidad reducida</v>
      </c>
      <c r="E2" s="5" t="str" cm="1">
        <f t="array" ref="E2:E11">_xlfn._xlws.FILTER('ListRelacion impactos-indicador'!D2:D182,'ListRelacion impactos-indicador'!$D$2:$D$182="Visibilidad","")</f>
        <v>Visibilidad</v>
      </c>
      <c r="F2" s="5" t="str" cm="1">
        <f t="array" ref="F2:F11">_xlfn._xlws.FILTER('ListRelacion impactos-indicador'!E2:E182,'ListRelacion impactos-indicador'!$D$2:$D$182="Visibilidad","")</f>
        <v>Bocana</v>
      </c>
      <c r="G2" s="5" t="str" cm="1">
        <f t="array" ref="G2:G11">_xlfn._xlws.FILTER('ListRelacion impactos-indicador'!F2:F182,'ListRelacion impactos-indicador'!$D$2:$D$182="Visibilidad","")</f>
        <v>Activo físico</v>
      </c>
      <c r="H2" s="5" cm="1">
        <f t="array" ref="H2:H11">_xlfn._xlws.FILTER(IF('ListRelacion impactos-indicador'!H2:H182="","",'ListRelacion impactos-indicador'!H2:H182),'ListRelacion impactos-indicador'!$D$2:$D$182="Visibilidad","")</f>
        <v>1</v>
      </c>
      <c r="I2" s="5"/>
      <c r="J2" s="5"/>
      <c r="K2" s="5"/>
      <c r="L2" s="5"/>
      <c r="M2" s="5"/>
      <c r="N2" s="5"/>
      <c r="O2" s="5"/>
      <c r="P2" s="5"/>
    </row>
    <row r="3" spans="1:16" x14ac:dyDescent="0.25">
      <c r="A3" s="5" t="str">
        <v>Visibilidad</v>
      </c>
      <c r="B3" s="5">
        <v>10</v>
      </c>
      <c r="C3" s="5" t="str">
        <v>ELO</v>
      </c>
      <c r="D3" s="5" t="str">
        <v>Visibilidad reducida</v>
      </c>
      <c r="E3" s="5" t="str">
        <v>Visibilidad</v>
      </c>
      <c r="F3" s="5" t="str">
        <v>Canal de acceso / navegación</v>
      </c>
      <c r="G3" s="5" t="str">
        <v>Activo físico</v>
      </c>
      <c r="H3" s="5">
        <v>1</v>
      </c>
      <c r="I3" s="5"/>
      <c r="J3" s="5"/>
      <c r="K3" s="5"/>
      <c r="L3" s="5"/>
      <c r="M3" s="5"/>
      <c r="N3" s="5"/>
      <c r="O3" s="5"/>
      <c r="P3" s="5"/>
    </row>
    <row r="4" spans="1:16" x14ac:dyDescent="0.25">
      <c r="A4" s="5" t="str">
        <v>Visibilidad</v>
      </c>
      <c r="B4" s="5">
        <v>14</v>
      </c>
      <c r="C4" s="5" t="str">
        <v>ELO</v>
      </c>
      <c r="D4" s="5" t="str">
        <v>Visibilidad reducida</v>
      </c>
      <c r="E4" s="5" t="str">
        <v>Visibilidad</v>
      </c>
      <c r="F4" s="5" t="str">
        <v>Dársenas (zona de permanencia)</v>
      </c>
      <c r="G4" s="5" t="str">
        <v>Activo físico</v>
      </c>
      <c r="H4" s="5">
        <v>1</v>
      </c>
      <c r="I4" s="5"/>
      <c r="J4" s="5"/>
      <c r="K4" s="5"/>
      <c r="L4" s="5"/>
      <c r="M4" s="5"/>
      <c r="N4" s="5"/>
      <c r="O4" s="5"/>
      <c r="P4" s="5"/>
    </row>
    <row r="5" spans="1:16" x14ac:dyDescent="0.25">
      <c r="A5" s="5" t="str">
        <v>Visibilidad</v>
      </c>
      <c r="B5" s="5">
        <v>18</v>
      </c>
      <c r="C5" s="5" t="str">
        <v>ELO</v>
      </c>
      <c r="D5" s="5" t="str">
        <v>Visibilidad reducida</v>
      </c>
      <c r="E5" s="5" t="str">
        <v>Visibilidad</v>
      </c>
      <c r="F5" s="5" t="str">
        <v>Dársenas (zona de maniobra y reviro)</v>
      </c>
      <c r="G5" s="5" t="str">
        <v>Activo físico</v>
      </c>
      <c r="H5" s="5">
        <v>1</v>
      </c>
      <c r="I5" s="5"/>
      <c r="J5" s="5"/>
      <c r="K5" s="5"/>
      <c r="L5" s="5"/>
      <c r="M5" s="5"/>
      <c r="N5" s="5"/>
      <c r="O5" s="5"/>
      <c r="P5" s="5"/>
    </row>
    <row r="6" spans="1:16" x14ac:dyDescent="0.25">
      <c r="A6" s="5" t="str">
        <v>Visibilidad</v>
      </c>
      <c r="B6" s="5">
        <v>19</v>
      </c>
      <c r="C6" s="5" t="str">
        <v>ELO</v>
      </c>
      <c r="D6" s="5" t="str">
        <v>Visibilidad reducida</v>
      </c>
      <c r="E6" s="5" t="str">
        <v>Visibilidad</v>
      </c>
      <c r="F6" s="5" t="str">
        <v>Señalización y balizado</v>
      </c>
      <c r="G6" s="5" t="str">
        <v>Activo físico</v>
      </c>
      <c r="H6" s="5">
        <v>1</v>
      </c>
      <c r="I6" s="5"/>
      <c r="J6" s="5"/>
      <c r="K6" s="5"/>
      <c r="L6" s="5"/>
      <c r="M6" s="5"/>
      <c r="N6" s="5"/>
      <c r="O6" s="5"/>
      <c r="P6" s="5"/>
    </row>
    <row r="7" spans="1:16" x14ac:dyDescent="0.25">
      <c r="A7" s="5" t="str">
        <v>Visibilidad</v>
      </c>
      <c r="B7" s="5">
        <v>22</v>
      </c>
      <c r="C7" s="5" t="str">
        <v>ELO</v>
      </c>
      <c r="D7" s="5" t="str">
        <v>Visibilidad reducida</v>
      </c>
      <c r="E7" s="5" t="str">
        <v>Visibilidad</v>
      </c>
      <c r="F7" s="5" t="str">
        <v>Servicio de prácticos</v>
      </c>
      <c r="G7" s="5" t="str">
        <v>Operacional (servicios)</v>
      </c>
      <c r="H7" s="5">
        <v>1</v>
      </c>
      <c r="I7" s="5"/>
      <c r="J7" s="5"/>
      <c r="K7" s="5"/>
      <c r="L7" s="5"/>
      <c r="M7" s="5"/>
      <c r="N7" s="5"/>
      <c r="O7" s="5"/>
      <c r="P7" s="5"/>
    </row>
    <row r="8" spans="1:16" x14ac:dyDescent="0.25">
      <c r="A8" s="5" t="str">
        <v>Visibilidad</v>
      </c>
      <c r="B8" s="5">
        <v>25</v>
      </c>
      <c r="C8" s="5" t="str">
        <v>ELO</v>
      </c>
      <c r="D8" s="5" t="str">
        <v>Visibilidad reducida</v>
      </c>
      <c r="E8" s="5" t="str">
        <v>Visibilidad</v>
      </c>
      <c r="F8" s="5" t="str">
        <v>Servicio de remolcadores</v>
      </c>
      <c r="G8" s="5" t="str">
        <v>Operacional (servicios)</v>
      </c>
      <c r="H8" s="5">
        <v>1</v>
      </c>
      <c r="I8" s="5"/>
      <c r="J8" s="5"/>
      <c r="K8" s="5"/>
      <c r="L8" s="5"/>
      <c r="M8" s="5"/>
      <c r="N8" s="5"/>
      <c r="O8" s="5"/>
      <c r="P8" s="5"/>
    </row>
    <row r="9" spans="1:16" x14ac:dyDescent="0.25">
      <c r="A9" s="5" t="str">
        <v>Visibilidad</v>
      </c>
      <c r="B9" s="5">
        <v>77</v>
      </c>
      <c r="C9" s="5" t="str">
        <v>ELO</v>
      </c>
      <c r="D9" s="5" t="str">
        <v>Visibilidad reducida</v>
      </c>
      <c r="E9" s="5" t="str">
        <v>Visibilidad</v>
      </c>
      <c r="F9" s="5" t="str">
        <v>Grúas de muelle</v>
      </c>
      <c r="G9" s="5" t="str">
        <v>Activo físico</v>
      </c>
      <c r="H9" s="5" t="str">
        <v/>
      </c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 t="str">
        <v>Visibilidad</v>
      </c>
      <c r="B10" s="5">
        <v>82</v>
      </c>
      <c r="C10" s="5" t="str">
        <v>ELO</v>
      </c>
      <c r="D10" s="5" t="str">
        <v>Visibilidad reducida</v>
      </c>
      <c r="E10" s="5" t="str">
        <v>Visibilidad</v>
      </c>
      <c r="F10" s="5" t="str">
        <v>Grúa de muelle</v>
      </c>
      <c r="G10" s="5" t="str">
        <v>Activo físico</v>
      </c>
      <c r="H10" s="5" t="str">
        <v/>
      </c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 t="str">
        <v>Visibilidad</v>
      </c>
      <c r="B11" s="5">
        <v>85</v>
      </c>
      <c r="C11" s="5" t="str">
        <v>ELO</v>
      </c>
      <c r="D11" s="5" t="str">
        <v>Visibilidad reducida</v>
      </c>
      <c r="E11" s="5" t="str">
        <v>Visibilidad</v>
      </c>
      <c r="F11" s="5" t="str">
        <v>Medios de embarque / desembarque (pasarelas, etc)</v>
      </c>
      <c r="G11" s="5" t="str">
        <v>Activo físico</v>
      </c>
      <c r="H11" s="5" t="str">
        <v/>
      </c>
      <c r="I11" s="5"/>
      <c r="J11" s="5"/>
      <c r="K11" s="5"/>
      <c r="L11" s="5"/>
      <c r="M11" s="5"/>
      <c r="N11" s="5"/>
      <c r="O11" s="5"/>
      <c r="P11" s="5"/>
    </row>
  </sheetData>
  <pageMargins left="0.7" right="0.7" top="0.75" bottom="0.75" header="0.3" footer="0.3"/>
  <pageSetup paperSize="9" scale="2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10</vt:i4>
      </vt:variant>
    </vt:vector>
  </HeadingPairs>
  <TitlesOfParts>
    <vt:vector size="25" baseType="lpstr">
      <vt:lpstr>ListRelacion impactos-indicador</vt:lpstr>
      <vt:lpstr>UnidadMedida</vt:lpstr>
      <vt:lpstr>CONTAR</vt:lpstr>
      <vt:lpstr>Agitación-Oleaje</vt:lpstr>
      <vt:lpstr>Asociados</vt:lpstr>
      <vt:lpstr>Calado</vt:lpstr>
      <vt:lpstr>Compuestos</vt:lpstr>
      <vt:lpstr>Corriente</vt:lpstr>
      <vt:lpstr>Francobordo</vt:lpstr>
      <vt:lpstr>Inundación costera</vt:lpstr>
      <vt:lpstr>Precipitación</vt:lpstr>
      <vt:lpstr>Rebase</vt:lpstr>
      <vt:lpstr>Temperatura</vt:lpstr>
      <vt:lpstr>Viento</vt:lpstr>
      <vt:lpstr>Visibilidad</vt:lpstr>
      <vt:lpstr>'Agitación-Oleaje'!Área_de_impresión</vt:lpstr>
      <vt:lpstr>Compuestos!Área_de_impresión</vt:lpstr>
      <vt:lpstr>Corriente!Área_de_impresión</vt:lpstr>
      <vt:lpstr>'Inundación costera'!Área_de_impresión</vt:lpstr>
      <vt:lpstr>'ListRelacion impactos-indicador'!Área_de_impresión</vt:lpstr>
      <vt:lpstr>Precipitación!Área_de_impresión</vt:lpstr>
      <vt:lpstr>Rebase!Área_de_impresión</vt:lpstr>
      <vt:lpstr>Temperatura!Área_de_impresión</vt:lpstr>
      <vt:lpstr>Viento!Área_de_impresión</vt:lpstr>
      <vt:lpstr>Visibilidad!Área_de_impresión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Fernández González, Yailín</cp:lastModifiedBy>
  <dcterms:created xsi:type="dcterms:W3CDTF">2026-06-24T07:13:16Z</dcterms:created>
  <dcterms:modified xsi:type="dcterms:W3CDTF">2026-08-05T10:12:13Z</dcterms:modified>
</cp:coreProperties>
</file>